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 &amp; Assumptions" sheetId="2" state="visible" r:id="rId4"/>
    <sheet name="Automation Costs" sheetId="3" state="visible" r:id="rId5"/>
    <sheet name="Savings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<sst xmlns="http://schemas.openxmlformats.org/spreadsheetml/2006/main" count="197" uniqueCount="184">
  <si>
    <t xml:space="preserve">FUND AUTOMATION — EXECUTIVE DASHBOARD</t>
  </si>
  <si>
    <t xml:space="preserve">KEY METRICS</t>
  </si>
  <si>
    <t xml:space="preserve">Per Unit</t>
  </si>
  <si>
    <t xml:space="preserve">Gross Annual Revenue</t>
  </si>
  <si>
    <t xml:space="preserve">Total Baseline Operating Costs</t>
  </si>
  <si>
    <t xml:space="preserve">Baseline NOI (before automation)</t>
  </si>
  <si>
    <t xml:space="preserve">Baseline Operating Expense Ratio</t>
  </si>
  <si>
    <t xml:space="preserve">Total Automation Upfront Investment</t>
  </si>
  <si>
    <t xml:space="preserve">Total Automation Annual Cost</t>
  </si>
  <si>
    <t xml:space="preserve">Total Annual Savings from Automation</t>
  </si>
  <si>
    <t xml:space="preserve">Net Annual Benefit (Savings - Auto Cost)</t>
  </si>
  <si>
    <t xml:space="preserve">New Operating Costs (Baseline - Savings + Auto Cost)</t>
  </si>
  <si>
    <t xml:space="preserve">New NOI (after automation)</t>
  </si>
  <si>
    <t xml:space="preserve">NOI Improvement</t>
  </si>
  <si>
    <t xml:space="preserve">New Operating Expense Ratio</t>
  </si>
  <si>
    <t xml:space="preserve">Payback Period (months)</t>
  </si>
  <si>
    <t xml:space="preserve">ROI on Automation (Year 1)</t>
  </si>
  <si>
    <t xml:space="preserve">ROI on Automation (Year 2+)</t>
  </si>
  <si>
    <t xml:space="preserve">SCENARIO ANALYSIS — BY PORTFOLIO SIZE</t>
  </si>
  <si>
    <t xml:space="preserve">Units →</t>
  </si>
  <si>
    <t xml:space="preserve">Gross Revenue</t>
  </si>
  <si>
    <t xml:space="preserve">Baseline Op Costs (est.)</t>
  </si>
  <si>
    <t xml:space="preserve">Automation Annual Cost (est.)</t>
  </si>
  <si>
    <t xml:space="preserve">Automation Upfront (est.)</t>
  </si>
  <si>
    <t xml:space="preserve">Est. Annual Savings</t>
  </si>
  <si>
    <t xml:space="preserve">Net Annual Benefit</t>
  </si>
  <si>
    <t xml:space="preserve">Payback (months)</t>
  </si>
  <si>
    <t xml:space="preserve">Op Expense Ratio</t>
  </si>
  <si>
    <t xml:space="preserve">REAL ESTATE FUND — AUTOMATION COST MODEL</t>
  </si>
  <si>
    <t xml:space="preserve">PORTFOLIO INPUTS</t>
  </si>
  <si>
    <t xml:space="preserve">Total number of units</t>
  </si>
  <si>
    <t xml:space="preserve">←</t>
  </si>
  <si>
    <t xml:space="preserve">Change to model different portfolio sizes</t>
  </si>
  <si>
    <t xml:space="preserve">Average monthly rent per unit</t>
  </si>
  <si>
    <t xml:space="preserve">Market rate</t>
  </si>
  <si>
    <t xml:space="preserve">Average unit square footage</t>
  </si>
  <si>
    <t xml:space="preserve">Used for pest/cleaning estimates</t>
  </si>
  <si>
    <t xml:space="preserve">Number of properties (buildings)</t>
  </si>
  <si>
    <t xml:space="preserve">Distinct locations</t>
  </si>
  <si>
    <t xml:space="preserve">Current vacancy rate</t>
  </si>
  <si>
    <t xml:space="preserve">Current baseline</t>
  </si>
  <si>
    <t xml:space="preserve">Average tenant turnover rate (per year)</t>
  </si>
  <si>
    <t xml:space="preserve">% of units that turn over annually</t>
  </si>
  <si>
    <t xml:space="preserve">Average cost per tenant turn</t>
  </si>
  <si>
    <t xml:space="preserve">Cleaning, paint, minor repairs</t>
  </si>
  <si>
    <t xml:space="preserve">Property manager hourly rate</t>
  </si>
  <si>
    <t xml:space="preserve">Fully loaded labor cost</t>
  </si>
  <si>
    <t xml:space="preserve">Hours/week on manual operational tasks</t>
  </si>
  <si>
    <t xml:space="preserve">Before automation</t>
  </si>
  <si>
    <t xml:space="preserve">Annual insurance premium per unit</t>
  </si>
  <si>
    <t xml:space="preserve">Property insurance</t>
  </si>
  <si>
    <t xml:space="preserve">Annual property tax per unit</t>
  </si>
  <si>
    <t xml:space="preserve">Local property tax</t>
  </si>
  <si>
    <t xml:space="preserve">MAINTENANCE &amp; REPAIR INPUTS</t>
  </si>
  <si>
    <t xml:space="preserve">Maintenance calls per unit per year</t>
  </si>
  <si>
    <t xml:space="preserve">Industry avg 6-12</t>
  </si>
  <si>
    <t xml:space="preserve">Average cost per maintenance call</t>
  </si>
  <si>
    <t xml:space="preserve">Blended across types</t>
  </si>
  <si>
    <t xml:space="preserve">Emergency calls (% of total)</t>
  </si>
  <si>
    <t xml:space="preserve">After-hours premium</t>
  </si>
  <si>
    <t xml:space="preserve">Emergency call premium multiplier</t>
  </si>
  <si>
    <t xml:space="preserve">After-hours markup</t>
  </si>
  <si>
    <t xml:space="preserve">Annual HVAC service cost per unit</t>
  </si>
  <si>
    <t xml:space="preserve">Preventive maintenance</t>
  </si>
  <si>
    <t xml:space="preserve">Plumbing incidents per unit per year</t>
  </si>
  <si>
    <t xml:space="preserve">Avg</t>
  </si>
  <si>
    <t xml:space="preserve">Avg plumbing repair cost</t>
  </si>
  <si>
    <t xml:space="preserve">Electrical issues per unit per year</t>
  </si>
  <si>
    <t xml:space="preserve">Avg electrical repair cost</t>
  </si>
  <si>
    <t xml:space="preserve">LOCKOUT &amp; ACCESS INPUTS</t>
  </si>
  <si>
    <t xml:space="preserve">Lockout incidents per unit per year</t>
  </si>
  <si>
    <t xml:space="preserve">Tenant lockouts</t>
  </si>
  <si>
    <t xml:space="preserve">Locksmith call cost</t>
  </si>
  <si>
    <t xml:space="preserve">Including travel</t>
  </si>
  <si>
    <t xml:space="preserve">Re-keying cost per unit at turnover</t>
  </si>
  <si>
    <t xml:space="preserve">Per lock change</t>
  </si>
  <si>
    <t xml:space="preserve">Number of locks per unit</t>
  </si>
  <si>
    <t xml:space="preserve">Front + back/storage</t>
  </si>
  <si>
    <t xml:space="preserve">Contractor/inspector access visits per unit/yr</t>
  </si>
  <si>
    <t xml:space="preserve">Includes showings</t>
  </si>
  <si>
    <t xml:space="preserve">Coordination time per access visit (minutes)</t>
  </si>
  <si>
    <t xml:space="preserve">Scheduling, meeting, etc</t>
  </si>
  <si>
    <t xml:space="preserve">APPLIANCE &amp; EQUIPMENT INPUTS</t>
  </si>
  <si>
    <t xml:space="preserve">Appliance replacements per year (portfolio-wide)</t>
  </si>
  <si>
    <t xml:space="preserve">Fridges, dishwashers, etc</t>
  </si>
  <si>
    <t xml:space="preserve">Average appliance cost (one-off purchase)</t>
  </si>
  <si>
    <t xml:space="preserve">Retail price</t>
  </si>
  <si>
    <t xml:space="preserve">Bulk discount when standardized</t>
  </si>
  <si>
    <t xml:space="preserve">Volume savings</t>
  </si>
  <si>
    <t xml:space="preserve">Average appliance lifespan (years)</t>
  </si>
  <si>
    <t xml:space="preserve">Water heater replacements per year</t>
  </si>
  <si>
    <t xml:space="preserve">Portfolio-wide</t>
  </si>
  <si>
    <t xml:space="preserve">Average water heater cost</t>
  </si>
  <si>
    <t xml:space="preserve">HVAC unit replacements per year</t>
  </si>
  <si>
    <t xml:space="preserve">Average HVAC replacement cost</t>
  </si>
  <si>
    <t xml:space="preserve">ADDITIONAL OPERATIONAL COST INPUTS</t>
  </si>
  <si>
    <t xml:space="preserve">Pest control visits per unit per year</t>
  </si>
  <si>
    <t xml:space="preserve">Preventive</t>
  </si>
  <si>
    <t xml:space="preserve">Pest control cost per visit</t>
  </si>
  <si>
    <t xml:space="preserve">Common area cleaning (monthly per building)</t>
  </si>
  <si>
    <t xml:space="preserve">Landscaping/snow removal monthly per building</t>
  </si>
  <si>
    <t xml:space="preserve">Legal/eviction incidents per year</t>
  </si>
  <si>
    <t xml:space="preserve">Average legal/eviction cost</t>
  </si>
  <si>
    <t xml:space="preserve">Tenant screening cost per applicant</t>
  </si>
  <si>
    <t xml:space="preserve">Usually passed to tenant</t>
  </si>
  <si>
    <t xml:space="preserve">Lease renewal admin time (hours per renewal)</t>
  </si>
  <si>
    <t xml:space="preserve">Marketing cost per vacancy (listing/photos)</t>
  </si>
  <si>
    <t xml:space="preserve">Annual inspection cost per unit</t>
  </si>
  <si>
    <t xml:space="preserve">Code compliance</t>
  </si>
  <si>
    <t xml:space="preserve">Trash/waste management monthly per building</t>
  </si>
  <si>
    <t xml:space="preserve">Water/sewer monthly per unit (if owner-paid)</t>
  </si>
  <si>
    <t xml:space="preserve">Set to 0 if tenant pays</t>
  </si>
  <si>
    <t xml:space="preserve">Cap-ex reserve (% of gross rent)</t>
  </si>
  <si>
    <t xml:space="preserve">Long term capital reserve</t>
  </si>
  <si>
    <t xml:space="preserve">AUTOMATION INVESTMENT — TOGGLE ON/OFF</t>
  </si>
  <si>
    <t xml:space="preserve">Automation Item</t>
  </si>
  <si>
    <t xml:space="preserve">Toggle (1=On)</t>
  </si>
  <si>
    <t xml:space="preserve">Upfront Cost</t>
  </si>
  <si>
    <t xml:space="preserve">Annual Cost</t>
  </si>
  <si>
    <t xml:space="preserve">Per-Unit Annual</t>
  </si>
  <si>
    <t xml:space="preserve">1. PM Software (AppFolio/Buildium)</t>
  </si>
  <si>
    <t xml:space="preserve">2. Smart Locks (keyless entry)</t>
  </si>
  <si>
    <t xml:space="preserve">3. Maintenance Auto-Dispatch (Property Meld)</t>
  </si>
  <si>
    <t xml:space="preserve">4. Appliance Standardization &amp; Bulk Purchasing</t>
  </si>
  <si>
    <t xml:space="preserve">5. Vacancy Reduction (faster turns, auto-listing)</t>
  </si>
  <si>
    <t xml:space="preserve">6. Online Rent Collection &amp; Auto-ACH</t>
  </si>
  <si>
    <t xml:space="preserve">7. E-Signature &amp; Lease Automation (DocuSign)</t>
  </si>
  <si>
    <t xml:space="preserve">8. Tenant Communication Portal / App</t>
  </si>
  <si>
    <t xml:space="preserve">9. Security Cameras &amp; Leak/Smoke Sensors</t>
  </si>
  <si>
    <t xml:space="preserve">10. Preventive Maintenance Scheduling Software</t>
  </si>
  <si>
    <t xml:space="preserve">11. Accounting Automation (QuickBooks integration)</t>
  </si>
  <si>
    <t xml:space="preserve">12. Tenant Screening Automation (TransUnion/RentPrep)</t>
  </si>
  <si>
    <t xml:space="preserve">TOTAL AUTOMATION INVESTMENT</t>
  </si>
  <si>
    <t xml:space="preserve">BASELINE COSTS (BEFORE AUTOMATION)</t>
  </si>
  <si>
    <t xml:space="preserve">Cost Category</t>
  </si>
  <si>
    <t xml:space="preserve">Per Unit/Year</t>
  </si>
  <si>
    <t xml:space="preserve">% of Revenue</t>
  </si>
  <si>
    <t xml:space="preserve">Maintenance (routine calls)</t>
  </si>
  <si>
    <t xml:space="preserve">Emergency maintenance premium</t>
  </si>
  <si>
    <t xml:space="preserve">HVAC preventive service</t>
  </si>
  <si>
    <t xml:space="preserve">Plumbing repairs</t>
  </si>
  <si>
    <t xml:space="preserve">Electrical repairs</t>
  </si>
  <si>
    <t xml:space="preserve">Lockout / locksmith costs</t>
  </si>
  <si>
    <t xml:space="preserve">Re-keying at turnover</t>
  </si>
  <si>
    <t xml:space="preserve">Contractor access coordination (labor)</t>
  </si>
  <si>
    <t xml:space="preserve">Appliance replacements</t>
  </si>
  <si>
    <t xml:space="preserve">Water heater replacements</t>
  </si>
  <si>
    <t xml:space="preserve">HVAC replacements</t>
  </si>
  <si>
    <t xml:space="preserve">Tenant turnover costs</t>
  </si>
  <si>
    <t xml:space="preserve">Vacancy loss</t>
  </si>
  <si>
    <t xml:space="preserve">PM labor (manual tasks)</t>
  </si>
  <si>
    <t xml:space="preserve">Pest control</t>
  </si>
  <si>
    <t xml:space="preserve">Common area cleaning</t>
  </si>
  <si>
    <t xml:space="preserve">Landscaping / snow removal</t>
  </si>
  <si>
    <t xml:space="preserve">Legal / eviction</t>
  </si>
  <si>
    <t xml:space="preserve">Lease renewal admin labor</t>
  </si>
  <si>
    <t xml:space="preserve">Marketing per vacancy</t>
  </si>
  <si>
    <t xml:space="preserve">Annual inspections</t>
  </si>
  <si>
    <t xml:space="preserve">Trash / waste management</t>
  </si>
  <si>
    <t xml:space="preserve">Water / sewer (owner-paid)</t>
  </si>
  <si>
    <t xml:space="preserve">Insurance</t>
  </si>
  <si>
    <t xml:space="preserve">Property tax</t>
  </si>
  <si>
    <t xml:space="preserve">Cap-ex reserve</t>
  </si>
  <si>
    <t xml:space="preserve">TOTAL BASELINE OPERATING COSTS</t>
  </si>
  <si>
    <t xml:space="preserve">ESTIMATED SAVINGS FROM AUTOMATION</t>
  </si>
  <si>
    <t xml:space="preserve">Savings Category</t>
  </si>
  <si>
    <t xml:space="preserve">Savings %</t>
  </si>
  <si>
    <t xml:space="preserve">Annual Savings</t>
  </si>
  <si>
    <t xml:space="preserve">Enabled?</t>
  </si>
  <si>
    <t xml:space="preserve">Maintenance dispatch efficiency</t>
  </si>
  <si>
    <t xml:space="preserve">HVAC preventive - fewer breakdowns</t>
  </si>
  <si>
    <t xml:space="preserve">Plumbing early detection (sensors)</t>
  </si>
  <si>
    <t xml:space="preserve">Lockout elimination (smart locks)</t>
  </si>
  <si>
    <t xml:space="preserve">Re-keying elimination</t>
  </si>
  <si>
    <t xml:space="preserve">Access coordination savings</t>
  </si>
  <si>
    <t xml:space="preserve">Appliance bulk purchasing savings</t>
  </si>
  <si>
    <t xml:space="preserve">Vacancy reduction (faster turns)</t>
  </si>
  <si>
    <t xml:space="preserve">PM labor reduction (software)</t>
  </si>
  <si>
    <t xml:space="preserve">Lease renewal automation</t>
  </si>
  <si>
    <t xml:space="preserve">Marketing automation</t>
  </si>
  <si>
    <t xml:space="preserve">Accounting time savings</t>
  </si>
  <si>
    <t xml:space="preserve">Tenant turnover reduction</t>
  </si>
  <si>
    <t xml:space="preserve">Water damage prevention (sensors)</t>
  </si>
  <si>
    <t xml:space="preserve">TOTAL ANNUAL SAVINGS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</si>
</sst>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%"/>
    <numFmt numFmtId="167" formatCode="0.0"/>
    <numFmt numFmtId="168" formatCode="#,##0"/>
    <numFmt numFmtId="169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999999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1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3542"/>
        <bgColor rgb="FF333300"/>
      </patternFill>
    </fill>
    <fill>
      <patternFill patternType="solid">
        <fgColor rgb="FF3742A0"/>
        <bgColor rgb="FF2F3542"/>
      </patternFill>
    </fill>
    <fill>
      <patternFill patternType="solid">
        <fgColor rgb="FFFFEBEE"/>
        <bgColor rgb="FFE8F5E9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FFF9C4"/>
        <bgColor rgb="FFFFEBEE"/>
      </patternFill>
    </fill>
    <fill>
      <patternFill patternType="solid">
        <fgColor rgb="FFCFD8DC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3F2FD"/>
      <rgbColor rgb="FF660066"/>
      <rgbColor rgb="FFFF8080"/>
      <rgbColor rgb="FF0066CC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666666"/>
      <rgbColor rgb="FF999999"/>
      <rgbColor rgb="FF003366"/>
      <rgbColor rgb="FF1D9E75"/>
      <rgbColor rgb="FF003300"/>
      <rgbColor rgb="FF333300"/>
      <rgbColor rgb="FF993300"/>
      <rgbColor rgb="FF993366"/>
      <rgbColor rgb="FF3742A0"/>
      <rgbColor rgb="FF2F35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5A30"/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6" min="3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1</v>
      </c>
      <c r="B3" s="2"/>
      <c r="C3" s="2"/>
      <c r="D3" s="3" t="s">
        <v>2</v>
      </c>
      <c r="E3" s="4"/>
      <c r="F3" s="4"/>
    </row>
    <row r="4" customFormat="false" ht="15" hidden="false" customHeight="false" outlineLevel="0" collapsed="false">
      <c r="B4" s="5" t="s">
        <v>3</v>
      </c>
      <c r="C4" s="6" t="n">
        <f aca="false">'Inputs &amp; Assumptions'!C4*'Inputs &amp; Assumptions'!C5*12</f>
        <v>540000</v>
      </c>
      <c r="D4" s="6" t="n">
        <f aca="false">IF('Inputs &amp; Assumptions'!C4&gt;0,C4/'Inputs &amp; Assumptions'!C4,0)</f>
        <v>18000</v>
      </c>
    </row>
    <row r="5" customFormat="false" ht="15" hidden="false" customHeight="false" outlineLevel="0" collapsed="false">
      <c r="B5" s="5" t="s">
        <v>4</v>
      </c>
      <c r="C5" s="7" t="n">
        <f aca="false">'Savings Analysis'!C30</f>
        <v>421785</v>
      </c>
      <c r="D5" s="6" t="n">
        <f aca="false">IF('Inputs &amp; Assumptions'!C4&gt;0,C5/'Inputs &amp; Assumptions'!C4,0)</f>
        <v>14059.5</v>
      </c>
    </row>
    <row r="6" customFormat="false" ht="15" hidden="false" customHeight="false" outlineLevel="0" collapsed="false">
      <c r="B6" s="8" t="s">
        <v>5</v>
      </c>
      <c r="C6" s="6" t="n">
        <f aca="false">C4-C5</f>
        <v>118215</v>
      </c>
      <c r="D6" s="6" t="n">
        <f aca="false">IF('Inputs &amp; Assumptions'!C4&gt;0,C6/'Inputs &amp; Assumptions'!C4,0)</f>
        <v>3940.5</v>
      </c>
    </row>
    <row r="7" customFormat="false" ht="15" hidden="false" customHeight="false" outlineLevel="0" collapsed="false">
      <c r="B7" s="5" t="s">
        <v>6</v>
      </c>
      <c r="C7" s="9" t="n">
        <f aca="false">IF(C4&gt;0,C5/C4,0)</f>
        <v>0.781083333333333</v>
      </c>
    </row>
    <row r="9" customFormat="false" ht="15" hidden="false" customHeight="false" outlineLevel="0" collapsed="false">
      <c r="B9" s="5" t="s">
        <v>7</v>
      </c>
      <c r="C9" s="10" t="n">
        <f aca="false">'Automation Costs'!D17</f>
        <v>28500</v>
      </c>
      <c r="D9" s="6" t="n">
        <f aca="false">IF('Inputs &amp; Assumptions'!C4&gt;0,C9/'Inputs &amp; Assumptions'!C4,0)</f>
        <v>950</v>
      </c>
    </row>
    <row r="10" customFormat="false" ht="15" hidden="false" customHeight="false" outlineLevel="0" collapsed="false">
      <c r="B10" s="5" t="s">
        <v>8</v>
      </c>
      <c r="C10" s="10" t="n">
        <f aca="false">'Automation Costs'!E17</f>
        <v>13320</v>
      </c>
      <c r="D10" s="6" t="n">
        <f aca="false">IF('Inputs &amp; Assumptions'!C4&gt;0,C10/'Inputs &amp; Assumptions'!C4,0)</f>
        <v>444</v>
      </c>
    </row>
    <row r="11" customFormat="false" ht="26.85" hidden="false" customHeight="false" outlineLevel="0" collapsed="false">
      <c r="B11" s="5" t="s">
        <v>9</v>
      </c>
      <c r="C11" s="11" t="n">
        <f aca="false">'Savings Analysis'!D50</f>
        <v>52926.75</v>
      </c>
      <c r="D11" s="6" t="n">
        <f aca="false">IF('Inputs &amp; Assumptions'!C4&gt;0,C11/'Inputs &amp; Assumptions'!C4,0)</f>
        <v>1764.225</v>
      </c>
    </row>
    <row r="12" customFormat="false" ht="26.85" hidden="false" customHeight="false" outlineLevel="0" collapsed="false">
      <c r="B12" s="8" t="s">
        <v>10</v>
      </c>
      <c r="C12" s="11" t="n">
        <f aca="false">C11-C10</f>
        <v>39606.75</v>
      </c>
      <c r="D12" s="6" t="n">
        <f aca="false">IF('Inputs &amp; Assumptions'!C4&gt;0,C12/'Inputs &amp; Assumptions'!C4,0)</f>
        <v>1320.225</v>
      </c>
    </row>
    <row r="13" customFormat="false" ht="26.85" hidden="false" customHeight="false" outlineLevel="0" collapsed="false">
      <c r="B13" s="5" t="s">
        <v>11</v>
      </c>
      <c r="C13" s="7" t="n">
        <f aca="false">C5-C11+C10</f>
        <v>382178.25</v>
      </c>
      <c r="D13" s="6" t="n">
        <f aca="false">IF('Inputs &amp; Assumptions'!C4&gt;0,C13/'Inputs &amp; Assumptions'!C4,0)</f>
        <v>12739.275</v>
      </c>
    </row>
    <row r="14" customFormat="false" ht="15" hidden="false" customHeight="false" outlineLevel="0" collapsed="false">
      <c r="B14" s="8" t="s">
        <v>12</v>
      </c>
      <c r="C14" s="11" t="n">
        <f aca="false">C4-C13</f>
        <v>157821.75</v>
      </c>
      <c r="D14" s="6" t="n">
        <f aca="false">IF('Inputs &amp; Assumptions'!C4&gt;0,C14/'Inputs &amp; Assumptions'!C4,0)</f>
        <v>5260.725</v>
      </c>
    </row>
    <row r="15" customFormat="false" ht="15" hidden="false" customHeight="false" outlineLevel="0" collapsed="false">
      <c r="B15" s="8" t="s">
        <v>13</v>
      </c>
      <c r="C15" s="11" t="n">
        <f aca="false">C14-C6</f>
        <v>39606.75</v>
      </c>
      <c r="D15" s="6" t="n">
        <f aca="false">IF('Inputs &amp; Assumptions'!C4&gt;0,C15/'Inputs &amp; Assumptions'!C4,0)</f>
        <v>1320.225</v>
      </c>
    </row>
    <row r="16" customFormat="false" ht="15" hidden="false" customHeight="false" outlineLevel="0" collapsed="false">
      <c r="B16" s="5" t="s">
        <v>14</v>
      </c>
      <c r="C16" s="9" t="n">
        <f aca="false">IF(C4&gt;0,C13/C4,0)</f>
        <v>0.7077375</v>
      </c>
    </row>
    <row r="17" customFormat="false" ht="15" hidden="false" customHeight="false" outlineLevel="0" collapsed="false">
      <c r="B17" s="8" t="s">
        <v>15</v>
      </c>
      <c r="C17" s="12" t="n">
        <f aca="false">IF(C12&gt;0,ROUND(C9/(C12/12),1),0)</f>
        <v>8.6</v>
      </c>
    </row>
    <row r="18" customFormat="false" ht="15" hidden="false" customHeight="false" outlineLevel="0" collapsed="false">
      <c r="B18" s="8" t="s">
        <v>16</v>
      </c>
      <c r="C18" s="9" t="n">
        <f aca="false">IF(C9+C10&gt;0,(C11-(C9+C10))/(C9+C10),0)</f>
        <v>0.265584648493544</v>
      </c>
    </row>
    <row r="19" customFormat="false" ht="15" hidden="false" customHeight="false" outlineLevel="0" collapsed="false">
      <c r="B19" s="8" t="s">
        <v>17</v>
      </c>
      <c r="C19" s="9" t="n">
        <f aca="false">IF(C10&gt;0,(C11-C10)/C10,0)</f>
        <v>2.97347972972973</v>
      </c>
    </row>
    <row r="22" customFormat="false" ht="27.75" hidden="false" customHeight="true" outlineLevel="0" collapsed="false">
      <c r="A22" s="1" t="s">
        <v>18</v>
      </c>
      <c r="B22" s="1"/>
      <c r="C22" s="1"/>
      <c r="D22" s="1"/>
      <c r="E22" s="1"/>
      <c r="F22" s="1"/>
    </row>
    <row r="24" customFormat="false" ht="15" hidden="false" customHeight="false" outlineLevel="0" collapsed="false">
      <c r="B24" s="13" t="s">
        <v>19</v>
      </c>
      <c r="C24" s="14" t="n">
        <v>10</v>
      </c>
      <c r="D24" s="14" t="n">
        <v>25</v>
      </c>
      <c r="E24" s="14" t="n">
        <v>50</v>
      </c>
      <c r="F24" s="14" t="n">
        <v>100</v>
      </c>
      <c r="G24" s="14" t="n">
        <v>200</v>
      </c>
    </row>
    <row r="25" customFormat="false" ht="15" hidden="false" customHeight="false" outlineLevel="0" collapsed="false">
      <c r="B25" s="5" t="s">
        <v>20</v>
      </c>
      <c r="C25" s="6" t="n">
        <f aca="false">C24*'Inputs &amp; Assumptions'!C5*12</f>
        <v>180000</v>
      </c>
      <c r="D25" s="6" t="n">
        <f aca="false">D24*'Inputs &amp; Assumptions'!C5*12</f>
        <v>450000</v>
      </c>
      <c r="E25" s="6" t="n">
        <f aca="false">E24*'Inputs &amp; Assumptions'!C5*12</f>
        <v>900000</v>
      </c>
      <c r="F25" s="6" t="n">
        <f aca="false">F24*'Inputs &amp; Assumptions'!C5*12</f>
        <v>1800000</v>
      </c>
      <c r="G25" s="6" t="n">
        <f aca="false">G24*'Inputs &amp; Assumptions'!C5*12</f>
        <v>3600000</v>
      </c>
    </row>
    <row r="26" customFormat="false" ht="15" hidden="false" customHeight="false" outlineLevel="0" collapsed="false">
      <c r="B26" s="5" t="s">
        <v>21</v>
      </c>
      <c r="C26" s="6" t="n">
        <f aca="false">C24*('Savings Analysis'!C30/'Inputs &amp; Assumptions'!C4)</f>
        <v>140595</v>
      </c>
      <c r="D26" s="6" t="n">
        <f aca="false">D24*('Savings Analysis'!C30/'Inputs &amp; Assumptions'!C4)</f>
        <v>351487.5</v>
      </c>
      <c r="E26" s="6" t="n">
        <f aca="false">E24*('Savings Analysis'!C30/'Inputs &amp; Assumptions'!C4)</f>
        <v>702975</v>
      </c>
      <c r="F26" s="6" t="n">
        <f aca="false">F24*('Savings Analysis'!C30/'Inputs &amp; Assumptions'!C4)</f>
        <v>1405950</v>
      </c>
      <c r="G26" s="6" t="n">
        <f aca="false">G24*('Savings Analysis'!C30/'Inputs &amp; Assumptions'!C4)</f>
        <v>2811900</v>
      </c>
    </row>
    <row r="27" customFormat="false" ht="15" hidden="false" customHeight="false" outlineLevel="0" collapsed="false">
      <c r="B27" s="5" t="s">
        <v>22</v>
      </c>
      <c r="C27" s="6" t="n">
        <f aca="false">C24*('Automation Costs'!E17/'Inputs &amp; Assumptions'!C4)</f>
        <v>4440</v>
      </c>
      <c r="D27" s="6" t="n">
        <f aca="false">D24*('Automation Costs'!E17/'Inputs &amp; Assumptions'!C4)</f>
        <v>11100</v>
      </c>
      <c r="E27" s="6" t="n">
        <f aca="false">E24*('Automation Costs'!E17/'Inputs &amp; Assumptions'!C4)</f>
        <v>22200</v>
      </c>
      <c r="F27" s="6" t="n">
        <f aca="false">F24*('Automation Costs'!E17/'Inputs &amp; Assumptions'!C4)</f>
        <v>44400</v>
      </c>
      <c r="G27" s="6" t="n">
        <f aca="false">G24*('Automation Costs'!E17/'Inputs &amp; Assumptions'!C4)</f>
        <v>88800</v>
      </c>
    </row>
    <row r="28" customFormat="false" ht="15" hidden="false" customHeight="false" outlineLevel="0" collapsed="false">
      <c r="B28" s="5" t="s">
        <v>23</v>
      </c>
      <c r="C28" s="6" t="n">
        <f aca="false">C24*('Automation Costs'!D17/'Inputs &amp; Assumptions'!C4)</f>
        <v>9500</v>
      </c>
      <c r="D28" s="6" t="n">
        <f aca="false">D24*('Automation Costs'!D17/'Inputs &amp; Assumptions'!C4)</f>
        <v>23750</v>
      </c>
      <c r="E28" s="6" t="n">
        <f aca="false">E24*('Automation Costs'!D17/'Inputs &amp; Assumptions'!C4)</f>
        <v>47500</v>
      </c>
      <c r="F28" s="6" t="n">
        <f aca="false">F24*('Automation Costs'!D17/'Inputs &amp; Assumptions'!C4)</f>
        <v>95000</v>
      </c>
      <c r="G28" s="6" t="n">
        <f aca="false">G24*('Automation Costs'!D17/'Inputs &amp; Assumptions'!C4)</f>
        <v>190000</v>
      </c>
    </row>
    <row r="29" customFormat="false" ht="15" hidden="false" customHeight="false" outlineLevel="0" collapsed="false">
      <c r="B29" s="5" t="s">
        <v>24</v>
      </c>
      <c r="C29" s="6" t="n">
        <f aca="false">C24*('Savings Analysis'!D50/'Inputs &amp; Assumptions'!C4)</f>
        <v>17642.25</v>
      </c>
      <c r="D29" s="6" t="n">
        <f aca="false">D24*('Savings Analysis'!D50/'Inputs &amp; Assumptions'!C4)</f>
        <v>44105.625</v>
      </c>
      <c r="E29" s="6" t="n">
        <f aca="false">E24*('Savings Analysis'!D50/'Inputs &amp; Assumptions'!C4)</f>
        <v>88211.25</v>
      </c>
      <c r="F29" s="6" t="n">
        <f aca="false">F24*('Savings Analysis'!D50/'Inputs &amp; Assumptions'!C4)</f>
        <v>176422.5</v>
      </c>
      <c r="G29" s="6" t="n">
        <f aca="false">G24*('Savings Analysis'!D50/'Inputs &amp; Assumptions'!C4)</f>
        <v>352845</v>
      </c>
    </row>
    <row r="30" customFormat="false" ht="15" hidden="false" customHeight="false" outlineLevel="0" collapsed="false">
      <c r="B30" s="8" t="s">
        <v>25</v>
      </c>
      <c r="C30" s="15" t="n">
        <f aca="false">C29-C27</f>
        <v>13202.25</v>
      </c>
      <c r="D30" s="15" t="n">
        <f aca="false">D29-D27</f>
        <v>33005.625</v>
      </c>
      <c r="E30" s="15" t="n">
        <f aca="false">E29-E27</f>
        <v>66011.25</v>
      </c>
      <c r="F30" s="15" t="n">
        <f aca="false">F29-F27</f>
        <v>132022.5</v>
      </c>
      <c r="G30" s="15" t="n">
        <f aca="false">G29-G27</f>
        <v>264045</v>
      </c>
    </row>
    <row r="31" customFormat="false" ht="15" hidden="false" customHeight="false" outlineLevel="0" collapsed="false">
      <c r="B31" s="8" t="s">
        <v>26</v>
      </c>
      <c r="C31" s="16" t="n">
        <f aca="false">IF(C30&gt;0,ROUND(C28/(C30/12),1),0)</f>
        <v>8.6</v>
      </c>
      <c r="D31" s="16" t="n">
        <f aca="false">IF(D30&gt;0,ROUND(D28/(D30/12),1),0)</f>
        <v>8.6</v>
      </c>
      <c r="E31" s="16" t="n">
        <f aca="false">IF(E30&gt;0,ROUND(E28/(E30/12),1),0)</f>
        <v>8.6</v>
      </c>
      <c r="F31" s="16" t="n">
        <f aca="false">IF(F30&gt;0,ROUND(F28/(F30/12),1),0)</f>
        <v>8.6</v>
      </c>
      <c r="G31" s="16" t="n">
        <f aca="false">IF(G30&gt;0,ROUND(G28/(G30/12),1),0)</f>
        <v>8.6</v>
      </c>
    </row>
    <row r="32" customFormat="false" ht="15" hidden="false" customHeight="false" outlineLevel="0" collapsed="false">
      <c r="B32" s="5" t="s">
        <v>27</v>
      </c>
      <c r="C32" s="9" t="n">
        <f aca="false">IF(C25&gt;0,(C26-C29+C27)/C25,0)</f>
        <v>0.7077375</v>
      </c>
      <c r="D32" s="9" t="n">
        <f aca="false">IF(D25&gt;0,(D26-D29+D27)/D25,0)</f>
        <v>0.7077375</v>
      </c>
      <c r="E32" s="9" t="n">
        <f aca="false">IF(E25&gt;0,(E26-E29+E27)/E25,0)</f>
        <v>0.7077375</v>
      </c>
      <c r="F32" s="9" t="n">
        <f aca="false">IF(F25&gt;0,(F26-F29+F27)/F25,0)</f>
        <v>0.7077375</v>
      </c>
      <c r="G32" s="9" t="n">
        <f aca="false">IF(G25&gt;0,(G26-G29+G27)/G25,0)</f>
        <v>0.7077375</v>
      </c>
    </row>
  </sheetData>
  <mergeCells count="3">
    <mergeCell ref="A1:F1"/>
    <mergeCell ref="A3:C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2A0"/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  <c r="E1" s="1"/>
      <c r="F1" s="1"/>
    </row>
    <row r="3" customFormat="false" ht="24" hidden="false" customHeight="true" outlineLevel="0" collapsed="false">
      <c r="A3" s="2" t="s">
        <v>29</v>
      </c>
      <c r="B3" s="2"/>
      <c r="C3" s="2"/>
      <c r="D3" s="2"/>
      <c r="E3" s="2"/>
      <c r="F3" s="2"/>
    </row>
    <row r="4" customFormat="false" ht="15" hidden="false" customHeight="false" outlineLevel="0" collapsed="false">
      <c r="B4" s="5" t="s">
        <v>30</v>
      </c>
      <c r="C4" s="17" t="n">
        <v>30</v>
      </c>
      <c r="D4" s="18" t="s">
        <v>31</v>
      </c>
      <c r="E4" s="19" t="s">
        <v>32</v>
      </c>
    </row>
    <row r="5" customFormat="false" ht="15" hidden="false" customHeight="false" outlineLevel="0" collapsed="false">
      <c r="B5" s="5" t="s">
        <v>33</v>
      </c>
      <c r="C5" s="20" t="n">
        <v>1500</v>
      </c>
      <c r="D5" s="18" t="s">
        <v>31</v>
      </c>
      <c r="E5" s="19" t="s">
        <v>34</v>
      </c>
    </row>
    <row r="6" customFormat="false" ht="15" hidden="false" customHeight="false" outlineLevel="0" collapsed="false">
      <c r="B6" s="5" t="s">
        <v>35</v>
      </c>
      <c r="C6" s="17" t="n">
        <v>950</v>
      </c>
      <c r="D6" s="18" t="s">
        <v>31</v>
      </c>
      <c r="E6" s="19" t="s">
        <v>36</v>
      </c>
    </row>
    <row r="7" customFormat="false" ht="15" hidden="false" customHeight="false" outlineLevel="0" collapsed="false">
      <c r="B7" s="5" t="s">
        <v>37</v>
      </c>
      <c r="C7" s="17" t="n">
        <v>5</v>
      </c>
      <c r="D7" s="18" t="s">
        <v>31</v>
      </c>
      <c r="E7" s="19" t="s">
        <v>38</v>
      </c>
    </row>
    <row r="8" customFormat="false" ht="15" hidden="false" customHeight="false" outlineLevel="0" collapsed="false">
      <c r="B8" s="5" t="s">
        <v>39</v>
      </c>
      <c r="C8" s="21" t="n">
        <v>0.07</v>
      </c>
      <c r="D8" s="18" t="s">
        <v>31</v>
      </c>
      <c r="E8" s="19" t="s">
        <v>40</v>
      </c>
    </row>
    <row r="9" customFormat="false" ht="15" hidden="false" customHeight="false" outlineLevel="0" collapsed="false">
      <c r="B9" s="5" t="s">
        <v>41</v>
      </c>
      <c r="C9" s="21" t="n">
        <v>0.35</v>
      </c>
      <c r="D9" s="18" t="s">
        <v>31</v>
      </c>
      <c r="E9" s="19" t="s">
        <v>42</v>
      </c>
    </row>
    <row r="10" customFormat="false" ht="15" hidden="false" customHeight="false" outlineLevel="0" collapsed="false">
      <c r="B10" s="5" t="s">
        <v>43</v>
      </c>
      <c r="C10" s="20" t="n">
        <v>2500</v>
      </c>
      <c r="D10" s="18" t="s">
        <v>31</v>
      </c>
      <c r="E10" s="19" t="s">
        <v>44</v>
      </c>
    </row>
    <row r="11" customFormat="false" ht="15" hidden="false" customHeight="false" outlineLevel="0" collapsed="false">
      <c r="B11" s="5" t="s">
        <v>45</v>
      </c>
      <c r="C11" s="20" t="n">
        <v>30</v>
      </c>
      <c r="D11" s="18" t="s">
        <v>31</v>
      </c>
      <c r="E11" s="19" t="s">
        <v>46</v>
      </c>
    </row>
    <row r="12" customFormat="false" ht="15" hidden="false" customHeight="false" outlineLevel="0" collapsed="false">
      <c r="B12" s="5" t="s">
        <v>47</v>
      </c>
      <c r="C12" s="17" t="n">
        <v>20</v>
      </c>
      <c r="D12" s="18" t="s">
        <v>31</v>
      </c>
      <c r="E12" s="19" t="s">
        <v>48</v>
      </c>
    </row>
    <row r="13" customFormat="false" ht="15" hidden="false" customHeight="false" outlineLevel="0" collapsed="false">
      <c r="B13" s="5" t="s">
        <v>49</v>
      </c>
      <c r="C13" s="20" t="n">
        <v>1200</v>
      </c>
      <c r="D13" s="18" t="s">
        <v>31</v>
      </c>
      <c r="E13" s="19" t="s">
        <v>50</v>
      </c>
    </row>
    <row r="14" customFormat="false" ht="15" hidden="false" customHeight="false" outlineLevel="0" collapsed="false">
      <c r="B14" s="5" t="s">
        <v>51</v>
      </c>
      <c r="C14" s="20" t="n">
        <v>2400</v>
      </c>
      <c r="D14" s="18" t="s">
        <v>31</v>
      </c>
      <c r="E14" s="19" t="s">
        <v>52</v>
      </c>
    </row>
    <row r="16" customFormat="false" ht="24" hidden="false" customHeight="true" outlineLevel="0" collapsed="false">
      <c r="A16" s="2" t="s">
        <v>53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B17" s="5" t="s">
        <v>54</v>
      </c>
      <c r="C17" s="17" t="n">
        <v>8</v>
      </c>
      <c r="E17" s="19" t="s">
        <v>55</v>
      </c>
    </row>
    <row r="18" customFormat="false" ht="15" hidden="false" customHeight="false" outlineLevel="0" collapsed="false">
      <c r="B18" s="5" t="s">
        <v>56</v>
      </c>
      <c r="C18" s="20" t="n">
        <v>185</v>
      </c>
      <c r="E18" s="19" t="s">
        <v>57</v>
      </c>
    </row>
    <row r="19" customFormat="false" ht="15" hidden="false" customHeight="false" outlineLevel="0" collapsed="false">
      <c r="B19" s="5" t="s">
        <v>58</v>
      </c>
      <c r="C19" s="21" t="n">
        <v>0.15</v>
      </c>
      <c r="E19" s="19" t="s">
        <v>59</v>
      </c>
    </row>
    <row r="20" customFormat="false" ht="15" hidden="false" customHeight="false" outlineLevel="0" collapsed="false">
      <c r="B20" s="5" t="s">
        <v>60</v>
      </c>
      <c r="C20" s="22" t="n">
        <v>1.75</v>
      </c>
      <c r="E20" s="19" t="s">
        <v>61</v>
      </c>
    </row>
    <row r="21" customFormat="false" ht="15" hidden="false" customHeight="false" outlineLevel="0" collapsed="false">
      <c r="B21" s="5" t="s">
        <v>62</v>
      </c>
      <c r="C21" s="20" t="n">
        <v>250</v>
      </c>
      <c r="E21" s="19" t="s">
        <v>63</v>
      </c>
    </row>
    <row r="22" customFormat="false" ht="15" hidden="false" customHeight="false" outlineLevel="0" collapsed="false">
      <c r="B22" s="5" t="s">
        <v>64</v>
      </c>
      <c r="C22" s="23" t="n">
        <v>1.5</v>
      </c>
      <c r="E22" s="19" t="s">
        <v>65</v>
      </c>
    </row>
    <row r="23" customFormat="false" ht="15" hidden="false" customHeight="false" outlineLevel="0" collapsed="false">
      <c r="B23" s="5" t="s">
        <v>66</v>
      </c>
      <c r="C23" s="20" t="n">
        <v>275</v>
      </c>
    </row>
    <row r="24" customFormat="false" ht="15" hidden="false" customHeight="false" outlineLevel="0" collapsed="false">
      <c r="B24" s="5" t="s">
        <v>67</v>
      </c>
      <c r="C24" s="23" t="n">
        <v>0.5</v>
      </c>
    </row>
    <row r="25" customFormat="false" ht="15" hidden="false" customHeight="false" outlineLevel="0" collapsed="false">
      <c r="B25" s="5" t="s">
        <v>68</v>
      </c>
      <c r="C25" s="20" t="n">
        <v>200</v>
      </c>
    </row>
    <row r="27" customFormat="false" ht="24" hidden="false" customHeight="true" outlineLevel="0" collapsed="false">
      <c r="A27" s="2" t="s">
        <v>69</v>
      </c>
      <c r="B27" s="2"/>
      <c r="C27" s="2"/>
      <c r="D27" s="2"/>
      <c r="E27" s="2"/>
      <c r="F27" s="2"/>
    </row>
    <row r="28" customFormat="false" ht="15" hidden="false" customHeight="false" outlineLevel="0" collapsed="false">
      <c r="B28" s="5" t="s">
        <v>70</v>
      </c>
      <c r="C28" s="17" t="n">
        <v>2</v>
      </c>
      <c r="E28" s="19" t="s">
        <v>71</v>
      </c>
    </row>
    <row r="29" customFormat="false" ht="15" hidden="false" customHeight="false" outlineLevel="0" collapsed="false">
      <c r="B29" s="5" t="s">
        <v>72</v>
      </c>
      <c r="C29" s="20" t="n">
        <v>125</v>
      </c>
      <c r="E29" s="19" t="s">
        <v>73</v>
      </c>
    </row>
    <row r="30" customFormat="false" ht="15" hidden="false" customHeight="false" outlineLevel="0" collapsed="false">
      <c r="B30" s="5" t="s">
        <v>74</v>
      </c>
      <c r="C30" s="20" t="n">
        <v>85</v>
      </c>
      <c r="E30" s="19" t="s">
        <v>75</v>
      </c>
    </row>
    <row r="31" customFormat="false" ht="15" hidden="false" customHeight="false" outlineLevel="0" collapsed="false">
      <c r="B31" s="5" t="s">
        <v>76</v>
      </c>
      <c r="C31" s="17" t="n">
        <v>2</v>
      </c>
      <c r="E31" s="19" t="s">
        <v>77</v>
      </c>
    </row>
    <row r="32" customFormat="false" ht="15" hidden="false" customHeight="false" outlineLevel="0" collapsed="false">
      <c r="B32" s="5" t="s">
        <v>78</v>
      </c>
      <c r="C32" s="17" t="n">
        <v>6</v>
      </c>
      <c r="E32" s="19" t="s">
        <v>79</v>
      </c>
    </row>
    <row r="33" customFormat="false" ht="15" hidden="false" customHeight="false" outlineLevel="0" collapsed="false">
      <c r="B33" s="5" t="s">
        <v>80</v>
      </c>
      <c r="C33" s="17" t="n">
        <v>20</v>
      </c>
      <c r="E33" s="19" t="s">
        <v>81</v>
      </c>
    </row>
    <row r="35" customFormat="false" ht="24" hidden="false" customHeight="true" outlineLevel="0" collapsed="false">
      <c r="A35" s="2" t="s">
        <v>82</v>
      </c>
      <c r="B35" s="2"/>
      <c r="C35" s="2"/>
      <c r="D35" s="2"/>
      <c r="E35" s="2"/>
      <c r="F35" s="2"/>
    </row>
    <row r="36" customFormat="false" ht="26.85" hidden="false" customHeight="false" outlineLevel="0" collapsed="false">
      <c r="B36" s="5" t="s">
        <v>83</v>
      </c>
      <c r="C36" s="17" t="n">
        <v>5</v>
      </c>
      <c r="E36" s="19" t="s">
        <v>84</v>
      </c>
    </row>
    <row r="37" customFormat="false" ht="15" hidden="false" customHeight="false" outlineLevel="0" collapsed="false">
      <c r="B37" s="5" t="s">
        <v>85</v>
      </c>
      <c r="C37" s="20" t="n">
        <v>900</v>
      </c>
      <c r="E37" s="19" t="s">
        <v>86</v>
      </c>
    </row>
    <row r="38" customFormat="false" ht="15" hidden="false" customHeight="false" outlineLevel="0" collapsed="false">
      <c r="B38" s="5" t="s">
        <v>87</v>
      </c>
      <c r="C38" s="21" t="n">
        <v>0.2</v>
      </c>
      <c r="E38" s="19" t="s">
        <v>88</v>
      </c>
    </row>
    <row r="39" customFormat="false" ht="15" hidden="false" customHeight="false" outlineLevel="0" collapsed="false">
      <c r="B39" s="5" t="s">
        <v>89</v>
      </c>
      <c r="C39" s="17" t="n">
        <v>12</v>
      </c>
    </row>
    <row r="40" customFormat="false" ht="15" hidden="false" customHeight="false" outlineLevel="0" collapsed="false">
      <c r="B40" s="5" t="s">
        <v>90</v>
      </c>
      <c r="C40" s="17" t="n">
        <v>2</v>
      </c>
      <c r="E40" s="19" t="s">
        <v>91</v>
      </c>
    </row>
    <row r="41" customFormat="false" ht="15" hidden="false" customHeight="false" outlineLevel="0" collapsed="false">
      <c r="B41" s="5" t="s">
        <v>92</v>
      </c>
      <c r="C41" s="20" t="n">
        <v>1200</v>
      </c>
    </row>
    <row r="42" customFormat="false" ht="15" hidden="false" customHeight="false" outlineLevel="0" collapsed="false">
      <c r="B42" s="5" t="s">
        <v>93</v>
      </c>
      <c r="C42" s="17" t="n">
        <v>1</v>
      </c>
      <c r="E42" s="19" t="s">
        <v>91</v>
      </c>
    </row>
    <row r="43" customFormat="false" ht="15" hidden="false" customHeight="false" outlineLevel="0" collapsed="false">
      <c r="B43" s="5" t="s">
        <v>94</v>
      </c>
      <c r="C43" s="20" t="n">
        <v>5500</v>
      </c>
    </row>
    <row r="45" customFormat="false" ht="24" hidden="false" customHeight="true" outlineLevel="0" collapsed="false">
      <c r="A45" s="2" t="s">
        <v>95</v>
      </c>
      <c r="B45" s="2"/>
      <c r="C45" s="2"/>
      <c r="D45" s="2"/>
      <c r="E45" s="2"/>
      <c r="F45" s="2"/>
    </row>
    <row r="46" customFormat="false" ht="15" hidden="false" customHeight="false" outlineLevel="0" collapsed="false">
      <c r="B46" s="5" t="s">
        <v>96</v>
      </c>
      <c r="C46" s="17" t="n">
        <v>2</v>
      </c>
      <c r="E46" s="19" t="s">
        <v>97</v>
      </c>
    </row>
    <row r="47" customFormat="false" ht="15" hidden="false" customHeight="false" outlineLevel="0" collapsed="false">
      <c r="B47" s="5" t="s">
        <v>98</v>
      </c>
      <c r="C47" s="20" t="n">
        <v>95</v>
      </c>
    </row>
    <row r="48" customFormat="false" ht="26.85" hidden="false" customHeight="false" outlineLevel="0" collapsed="false">
      <c r="B48" s="5" t="s">
        <v>99</v>
      </c>
      <c r="C48" s="20" t="n">
        <v>350</v>
      </c>
    </row>
    <row r="49" customFormat="false" ht="26.85" hidden="false" customHeight="false" outlineLevel="0" collapsed="false">
      <c r="B49" s="5" t="s">
        <v>100</v>
      </c>
      <c r="C49" s="20" t="n">
        <v>400</v>
      </c>
    </row>
    <row r="50" customFormat="false" ht="15" hidden="false" customHeight="false" outlineLevel="0" collapsed="false">
      <c r="B50" s="5" t="s">
        <v>101</v>
      </c>
      <c r="C50" s="17" t="n">
        <v>1</v>
      </c>
      <c r="E50" s="19" t="s">
        <v>91</v>
      </c>
    </row>
    <row r="51" customFormat="false" ht="15" hidden="false" customHeight="false" outlineLevel="0" collapsed="false">
      <c r="B51" s="5" t="s">
        <v>102</v>
      </c>
      <c r="C51" s="20" t="n">
        <v>3500</v>
      </c>
    </row>
    <row r="52" customFormat="false" ht="15" hidden="false" customHeight="false" outlineLevel="0" collapsed="false">
      <c r="B52" s="5" t="s">
        <v>103</v>
      </c>
      <c r="C52" s="20" t="n">
        <v>35</v>
      </c>
      <c r="E52" s="19" t="s">
        <v>104</v>
      </c>
    </row>
    <row r="53" customFormat="false" ht="26.85" hidden="false" customHeight="false" outlineLevel="0" collapsed="false">
      <c r="B53" s="5" t="s">
        <v>105</v>
      </c>
      <c r="C53" s="17" t="n">
        <v>2</v>
      </c>
    </row>
    <row r="54" customFormat="false" ht="15" hidden="false" customHeight="false" outlineLevel="0" collapsed="false">
      <c r="B54" s="5" t="s">
        <v>106</v>
      </c>
      <c r="C54" s="20" t="n">
        <v>200</v>
      </c>
    </row>
    <row r="55" customFormat="false" ht="15" hidden="false" customHeight="false" outlineLevel="0" collapsed="false">
      <c r="B55" s="5" t="s">
        <v>107</v>
      </c>
      <c r="C55" s="20" t="n">
        <v>75</v>
      </c>
      <c r="E55" s="19" t="s">
        <v>108</v>
      </c>
    </row>
    <row r="56" customFormat="false" ht="26.85" hidden="false" customHeight="false" outlineLevel="0" collapsed="false">
      <c r="B56" s="5" t="s">
        <v>109</v>
      </c>
      <c r="C56" s="20" t="n">
        <v>250</v>
      </c>
    </row>
    <row r="57" customFormat="false" ht="15" hidden="false" customHeight="false" outlineLevel="0" collapsed="false">
      <c r="B57" s="5" t="s">
        <v>110</v>
      </c>
      <c r="C57" s="20" t="n">
        <v>60</v>
      </c>
      <c r="E57" s="19" t="s">
        <v>111</v>
      </c>
    </row>
    <row r="58" customFormat="false" ht="15" hidden="false" customHeight="false" outlineLevel="0" collapsed="false">
      <c r="B58" s="5" t="s">
        <v>112</v>
      </c>
      <c r="C58" s="21" t="n">
        <v>0.05</v>
      </c>
      <c r="E58" s="19" t="s">
        <v>113</v>
      </c>
    </row>
  </sheetData>
  <mergeCells count="6">
    <mergeCell ref="A1:F1"/>
    <mergeCell ref="A3:F3"/>
    <mergeCell ref="A16:F16"/>
    <mergeCell ref="A27:F27"/>
    <mergeCell ref="A35:F35"/>
    <mergeCell ref="A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114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24" t="s">
        <v>115</v>
      </c>
      <c r="C3" s="24" t="s">
        <v>116</v>
      </c>
      <c r="D3" s="24" t="s">
        <v>117</v>
      </c>
      <c r="E3" s="24" t="s">
        <v>118</v>
      </c>
      <c r="F3" s="24" t="s">
        <v>119</v>
      </c>
    </row>
    <row r="4" customFormat="false" ht="15" hidden="false" customHeight="false" outlineLevel="0" collapsed="false">
      <c r="B4" s="8" t="s">
        <v>120</v>
      </c>
      <c r="C4" s="17" t="n">
        <v>1</v>
      </c>
      <c r="D4" s="6" t="n">
        <f aca="false">0</f>
        <v>0</v>
      </c>
      <c r="E4" s="6" t="n">
        <f aca="false">IF(C4=1,MAX('Inputs &amp; Assumptions'!C4*1.4*12,280*12),0)</f>
        <v>3360</v>
      </c>
      <c r="F4" s="6" t="n">
        <f aca="false">IF('Inputs &amp; Assumptions'!C4&gt;0,E4/'Inputs &amp; Assumptions'!C4,0)</f>
        <v>112</v>
      </c>
    </row>
    <row r="5" customFormat="false" ht="15" hidden="false" customHeight="false" outlineLevel="0" collapsed="false">
      <c r="B5" s="5" t="s">
        <v>121</v>
      </c>
      <c r="C5" s="17" t="n">
        <v>1</v>
      </c>
      <c r="D5" s="6" t="n">
        <f aca="false">IF(C5=1,'Inputs &amp; Assumptions'!C4*'Inputs &amp; Assumptions'!C31*250,0)</f>
        <v>15000</v>
      </c>
      <c r="E5" s="6" t="n">
        <f aca="false">IF(C5=1,'Inputs &amp; Assumptions'!C4*20,0)</f>
        <v>600</v>
      </c>
      <c r="F5" s="6" t="n">
        <f aca="false">IF('Inputs &amp; Assumptions'!C4&gt;0,E5/'Inputs &amp; Assumptions'!C4,0)</f>
        <v>20</v>
      </c>
    </row>
    <row r="6" customFormat="false" ht="15" hidden="false" customHeight="false" outlineLevel="0" collapsed="false">
      <c r="B6" s="5" t="s">
        <v>122</v>
      </c>
      <c r="C6" s="17" t="n">
        <v>1</v>
      </c>
      <c r="D6" s="6" t="n">
        <f aca="false">0</f>
        <v>0</v>
      </c>
      <c r="E6" s="6" t="n">
        <f aca="false">IF(C6=1,'Inputs &amp; Assumptions'!C4*3.5*12,0)</f>
        <v>1260</v>
      </c>
      <c r="F6" s="6" t="n">
        <f aca="false">IF('Inputs &amp; Assumptions'!C4&gt;0,E6/'Inputs &amp; Assumptions'!C4,0)</f>
        <v>42</v>
      </c>
    </row>
    <row r="7" customFormat="false" ht="26.85" hidden="false" customHeight="false" outlineLevel="0" collapsed="false">
      <c r="B7" s="5" t="s">
        <v>123</v>
      </c>
      <c r="C7" s="17" t="n">
        <v>1</v>
      </c>
      <c r="D7" s="6" t="n">
        <f aca="false">0</f>
        <v>0</v>
      </c>
      <c r="E7" s="6" t="n">
        <f aca="false">IF(C7=1,150*12,0)</f>
        <v>1800</v>
      </c>
      <c r="F7" s="6" t="n">
        <f aca="false">IF('Inputs &amp; Assumptions'!C4&gt;0,E7/'Inputs &amp; Assumptions'!C4,0)</f>
        <v>60</v>
      </c>
    </row>
    <row r="8" customFormat="false" ht="26.85" hidden="false" customHeight="false" outlineLevel="0" collapsed="false">
      <c r="B8" s="5" t="s">
        <v>124</v>
      </c>
      <c r="C8" s="17" t="n">
        <v>1</v>
      </c>
      <c r="D8" s="6" t="n">
        <f aca="false">0</f>
        <v>0</v>
      </c>
      <c r="E8" s="6" t="n">
        <f aca="false">IF(C8=1,'Inputs &amp; Assumptions'!C4*2*12,0)</f>
        <v>720</v>
      </c>
      <c r="F8" s="6" t="n">
        <f aca="false">IF('Inputs &amp; Assumptions'!C4&gt;0,E8/'Inputs &amp; Assumptions'!C4,0)</f>
        <v>24</v>
      </c>
    </row>
    <row r="9" customFormat="false" ht="15" hidden="false" customHeight="false" outlineLevel="0" collapsed="false">
      <c r="B9" s="5" t="s">
        <v>125</v>
      </c>
      <c r="C9" s="17" t="n">
        <v>1</v>
      </c>
      <c r="D9" s="6" t="n">
        <f aca="false">0</f>
        <v>0</v>
      </c>
      <c r="E9" s="6" t="n">
        <f aca="false">IF(C9=1,0,0)</f>
        <v>0</v>
      </c>
      <c r="F9" s="6" t="n">
        <f aca="false">IF('Inputs &amp; Assumptions'!C4&gt;0,E9/'Inputs &amp; Assumptions'!C4,0)</f>
        <v>0</v>
      </c>
    </row>
    <row r="10" customFormat="false" ht="26.85" hidden="false" customHeight="false" outlineLevel="0" collapsed="false">
      <c r="B10" s="5" t="s">
        <v>126</v>
      </c>
      <c r="C10" s="17" t="n">
        <v>1</v>
      </c>
      <c r="D10" s="6" t="n">
        <f aca="false">0</f>
        <v>0</v>
      </c>
      <c r="E10" s="6" t="n">
        <f aca="false">IF(C10=1,25*12,0)</f>
        <v>300</v>
      </c>
      <c r="F10" s="6" t="n">
        <f aca="false">IF('Inputs &amp; Assumptions'!C4&gt;0,E10/'Inputs &amp; Assumptions'!C4,0)</f>
        <v>10</v>
      </c>
    </row>
    <row r="11" customFormat="false" ht="15" hidden="false" customHeight="false" outlineLevel="0" collapsed="false">
      <c r="B11" s="5" t="s">
        <v>127</v>
      </c>
      <c r="C11" s="17" t="n">
        <v>1</v>
      </c>
      <c r="D11" s="6" t="n">
        <f aca="false">0</f>
        <v>0</v>
      </c>
      <c r="E11" s="6" t="n">
        <f aca="false">IF(C11=1,'Inputs &amp; Assumptions'!C4*1*12,0)</f>
        <v>360</v>
      </c>
      <c r="F11" s="6" t="n">
        <f aca="false">IF('Inputs &amp; Assumptions'!C4&gt;0,E11/'Inputs &amp; Assumptions'!C4,0)</f>
        <v>12</v>
      </c>
    </row>
    <row r="12" customFormat="false" ht="15" hidden="false" customHeight="false" outlineLevel="0" collapsed="false">
      <c r="B12" s="5" t="s">
        <v>128</v>
      </c>
      <c r="C12" s="17" t="n">
        <v>1</v>
      </c>
      <c r="D12" s="6" t="n">
        <f aca="false">IF(C12=1,'Inputs &amp; Assumptions'!C7*1500+'Inputs &amp; Assumptions'!C4*200,0)</f>
        <v>13500</v>
      </c>
      <c r="E12" s="6" t="n">
        <f aca="false">IF(C12=1,('Inputs &amp; Assumptions'!C7*30+'Inputs &amp; Assumptions'!C4*5)*12,0)</f>
        <v>3600</v>
      </c>
      <c r="F12" s="6" t="n">
        <f aca="false">IF('Inputs &amp; Assumptions'!C4&gt;0,E12/'Inputs &amp; Assumptions'!C4,0)</f>
        <v>120</v>
      </c>
    </row>
    <row r="13" customFormat="false" ht="26.85" hidden="false" customHeight="false" outlineLevel="0" collapsed="false">
      <c r="B13" s="5" t="s">
        <v>129</v>
      </c>
      <c r="C13" s="17" t="n">
        <v>1</v>
      </c>
      <c r="D13" s="6" t="n">
        <f aca="false">0</f>
        <v>0</v>
      </c>
      <c r="E13" s="6" t="n">
        <f aca="false">IF(C13=1,'Inputs &amp; Assumptions'!C4*2*12,0)</f>
        <v>720</v>
      </c>
      <c r="F13" s="6" t="n">
        <f aca="false">IF('Inputs &amp; Assumptions'!C4&gt;0,E13/'Inputs &amp; Assumptions'!C4,0)</f>
        <v>24</v>
      </c>
    </row>
    <row r="14" customFormat="false" ht="26.85" hidden="false" customHeight="false" outlineLevel="0" collapsed="false">
      <c r="B14" s="5" t="s">
        <v>130</v>
      </c>
      <c r="C14" s="17" t="n">
        <v>1</v>
      </c>
      <c r="D14" s="6" t="n">
        <f aca="false">0</f>
        <v>0</v>
      </c>
      <c r="E14" s="6" t="n">
        <f aca="false">IF(C14=1,50*12,0)</f>
        <v>600</v>
      </c>
      <c r="F14" s="6" t="n">
        <f aca="false">IF('Inputs &amp; Assumptions'!C4&gt;0,E14/'Inputs &amp; Assumptions'!C4,0)</f>
        <v>20</v>
      </c>
    </row>
    <row r="15" customFormat="false" ht="26.85" hidden="false" customHeight="false" outlineLevel="0" collapsed="false">
      <c r="B15" s="5" t="s">
        <v>131</v>
      </c>
      <c r="C15" s="17" t="n">
        <v>1</v>
      </c>
      <c r="D15" s="6" t="n">
        <f aca="false">0</f>
        <v>0</v>
      </c>
      <c r="E15" s="6" t="n">
        <f aca="false">IF(C15=1,0,0)</f>
        <v>0</v>
      </c>
      <c r="F15" s="6" t="n">
        <f aca="false">0</f>
        <v>0</v>
      </c>
    </row>
    <row r="17" customFormat="false" ht="15" hidden="false" customHeight="true" outlineLevel="0" collapsed="false">
      <c r="B17" s="25" t="s">
        <v>132</v>
      </c>
      <c r="C17" s="25"/>
      <c r="D17" s="26" t="n">
        <f aca="false">SUM(D4:D15)</f>
        <v>28500</v>
      </c>
      <c r="E17" s="26" t="n">
        <f aca="false">SUM(E4:E15)</f>
        <v>13320</v>
      </c>
      <c r="F17" s="26" t="n">
        <f aca="false">SUM(F4:F15)</f>
        <v>444</v>
      </c>
    </row>
  </sheetData>
  <mergeCells count="2">
    <mergeCell ref="A1:F1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5A30"/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133</v>
      </c>
      <c r="B1" s="1"/>
      <c r="C1" s="1"/>
      <c r="D1" s="1"/>
      <c r="E1" s="1"/>
      <c r="F1" s="1"/>
    </row>
    <row r="3" customFormat="false" ht="15" hidden="false" customHeight="false" outlineLevel="0" collapsed="false">
      <c r="B3" s="27" t="s">
        <v>134</v>
      </c>
      <c r="C3" s="27" t="s">
        <v>118</v>
      </c>
      <c r="D3" s="27" t="s">
        <v>135</v>
      </c>
      <c r="E3" s="27" t="s">
        <v>136</v>
      </c>
    </row>
    <row r="4" customFormat="false" ht="15" hidden="false" customHeight="false" outlineLevel="0" collapsed="false">
      <c r="B4" s="5" t="s">
        <v>137</v>
      </c>
      <c r="C4" s="6" t="n">
        <f aca="false">'Inputs &amp; Assumptions'!C4*'Inputs &amp; Assumptions'!C17*'Inputs &amp; Assumptions'!C18</f>
        <v>44400</v>
      </c>
      <c r="D4" s="6" t="n">
        <f aca="false">IF('Inputs &amp; Assumptions'!C4&gt;0,C4/'Inputs &amp; Assumptions'!C4,0)</f>
        <v>1480</v>
      </c>
      <c r="E4" s="9" t="n">
        <f aca="false">IF('Inputs &amp; Assumptions'!C4*'Inputs &amp; Assumptions'!C5*12&gt;0,C4/('Inputs &amp; Assumptions'!C4*'Inputs &amp; Assumptions'!C5*12),0)</f>
        <v>0.0822222222222222</v>
      </c>
    </row>
    <row r="5" customFormat="false" ht="15" hidden="false" customHeight="false" outlineLevel="0" collapsed="false">
      <c r="B5" s="5" t="s">
        <v>138</v>
      </c>
      <c r="C5" s="6" t="n">
        <f aca="false">'Inputs &amp; Assumptions'!C4*'Inputs &amp; Assumptions'!C17*'Inputs &amp; Assumptions'!C19*'Inputs &amp; Assumptions'!C18*('Inputs &amp; Assumptions'!C20-1)</f>
        <v>4995</v>
      </c>
      <c r="D5" s="6" t="n">
        <f aca="false">IF('Inputs &amp; Assumptions'!C4&gt;0,C5/'Inputs &amp; Assumptions'!C4,0)</f>
        <v>166.5</v>
      </c>
      <c r="E5" s="9" t="n">
        <f aca="false">IF('Inputs &amp; Assumptions'!C4*'Inputs &amp; Assumptions'!C5*12&gt;0,C5/('Inputs &amp; Assumptions'!C4*'Inputs &amp; Assumptions'!C5*12),0)</f>
        <v>0.00925</v>
      </c>
    </row>
    <row r="6" customFormat="false" ht="15" hidden="false" customHeight="false" outlineLevel="0" collapsed="false">
      <c r="B6" s="5" t="s">
        <v>139</v>
      </c>
      <c r="C6" s="6" t="n">
        <f aca="false">'Inputs &amp; Assumptions'!C4*'Inputs &amp; Assumptions'!C21</f>
        <v>7500</v>
      </c>
      <c r="D6" s="6" t="n">
        <f aca="false">IF('Inputs &amp; Assumptions'!C4&gt;0,C6/'Inputs &amp; Assumptions'!C4,0)</f>
        <v>250</v>
      </c>
      <c r="E6" s="9" t="n">
        <f aca="false">IF('Inputs &amp; Assumptions'!C4*'Inputs &amp; Assumptions'!C5*12&gt;0,C6/('Inputs &amp; Assumptions'!C4*'Inputs &amp; Assumptions'!C5*12),0)</f>
        <v>0.0138888888888889</v>
      </c>
    </row>
    <row r="7" customFormat="false" ht="15" hidden="false" customHeight="false" outlineLevel="0" collapsed="false">
      <c r="B7" s="5" t="s">
        <v>140</v>
      </c>
      <c r="C7" s="6" t="n">
        <f aca="false">'Inputs &amp; Assumptions'!C4*'Inputs &amp; Assumptions'!C22*'Inputs &amp; Assumptions'!C23</f>
        <v>12375</v>
      </c>
      <c r="D7" s="6" t="n">
        <f aca="false">IF('Inputs &amp; Assumptions'!C4&gt;0,C7/'Inputs &amp; Assumptions'!C4,0)</f>
        <v>412.5</v>
      </c>
      <c r="E7" s="9" t="n">
        <f aca="false">IF('Inputs &amp; Assumptions'!C4*'Inputs &amp; Assumptions'!C5*12&gt;0,C7/('Inputs &amp; Assumptions'!C4*'Inputs &amp; Assumptions'!C5*12),0)</f>
        <v>0.0229166666666667</v>
      </c>
    </row>
    <row r="8" customFormat="false" ht="15" hidden="false" customHeight="false" outlineLevel="0" collapsed="false">
      <c r="B8" s="5" t="s">
        <v>141</v>
      </c>
      <c r="C8" s="6" t="n">
        <f aca="false">'Inputs &amp; Assumptions'!C4*'Inputs &amp; Assumptions'!C24*'Inputs &amp; Assumptions'!C25</f>
        <v>3000</v>
      </c>
      <c r="D8" s="6" t="n">
        <f aca="false">IF('Inputs &amp; Assumptions'!C4&gt;0,C8/'Inputs &amp; Assumptions'!C4,0)</f>
        <v>100</v>
      </c>
      <c r="E8" s="9" t="n">
        <f aca="false">IF('Inputs &amp; Assumptions'!C4*'Inputs &amp; Assumptions'!C5*12&gt;0,C8/('Inputs &amp; Assumptions'!C4*'Inputs &amp; Assumptions'!C5*12),0)</f>
        <v>0.00555555555555556</v>
      </c>
    </row>
    <row r="9" customFormat="false" ht="15" hidden="false" customHeight="false" outlineLevel="0" collapsed="false">
      <c r="B9" s="5" t="s">
        <v>142</v>
      </c>
      <c r="C9" s="6" t="n">
        <f aca="false">'Inputs &amp; Assumptions'!C4*'Inputs &amp; Assumptions'!C28*'Inputs &amp; Assumptions'!C29</f>
        <v>7500</v>
      </c>
      <c r="D9" s="6" t="n">
        <f aca="false">IF('Inputs &amp; Assumptions'!C4&gt;0,C9/'Inputs &amp; Assumptions'!C4,0)</f>
        <v>250</v>
      </c>
      <c r="E9" s="9" t="n">
        <f aca="false">IF('Inputs &amp; Assumptions'!C4*'Inputs &amp; Assumptions'!C5*12&gt;0,C9/('Inputs &amp; Assumptions'!C4*'Inputs &amp; Assumptions'!C5*12),0)</f>
        <v>0.0138888888888889</v>
      </c>
    </row>
    <row r="10" customFormat="false" ht="15" hidden="false" customHeight="false" outlineLevel="0" collapsed="false">
      <c r="B10" s="5" t="s">
        <v>143</v>
      </c>
      <c r="C10" s="6" t="n">
        <f aca="false">'Inputs &amp; Assumptions'!C4*'Inputs &amp; Assumptions'!C9*'Inputs &amp; Assumptions'!C30*'Inputs &amp; Assumptions'!C31</f>
        <v>1785</v>
      </c>
      <c r="D10" s="6" t="n">
        <f aca="false">IF('Inputs &amp; Assumptions'!C4&gt;0,C10/'Inputs &amp; Assumptions'!C4,0)</f>
        <v>59.5</v>
      </c>
      <c r="E10" s="9" t="n">
        <f aca="false">IF('Inputs &amp; Assumptions'!C4*'Inputs &amp; Assumptions'!C5*12&gt;0,C10/('Inputs &amp; Assumptions'!C4*'Inputs &amp; Assumptions'!C5*12),0)</f>
        <v>0.00330555555555556</v>
      </c>
    </row>
    <row r="11" customFormat="false" ht="15" hidden="false" customHeight="false" outlineLevel="0" collapsed="false">
      <c r="B11" s="5" t="s">
        <v>144</v>
      </c>
      <c r="C11" s="6" t="n">
        <f aca="false">'Inputs &amp; Assumptions'!C4*'Inputs &amp; Assumptions'!C32*'Inputs &amp; Assumptions'!C33/60*'Inputs &amp; Assumptions'!C11</f>
        <v>1800</v>
      </c>
      <c r="D11" s="6" t="n">
        <f aca="false">IF('Inputs &amp; Assumptions'!C4&gt;0,C11/'Inputs &amp; Assumptions'!C4,0)</f>
        <v>60</v>
      </c>
      <c r="E11" s="9" t="n">
        <f aca="false">IF('Inputs &amp; Assumptions'!C4*'Inputs &amp; Assumptions'!C5*12&gt;0,C11/('Inputs &amp; Assumptions'!C4*'Inputs &amp; Assumptions'!C5*12),0)</f>
        <v>0.00333333333333333</v>
      </c>
    </row>
    <row r="12" customFormat="false" ht="15" hidden="false" customHeight="false" outlineLevel="0" collapsed="false">
      <c r="B12" s="5" t="s">
        <v>145</v>
      </c>
      <c r="C12" s="6" t="n">
        <f aca="false">'Inputs &amp; Assumptions'!C36*'Inputs &amp; Assumptions'!C37</f>
        <v>4500</v>
      </c>
      <c r="D12" s="6" t="n">
        <f aca="false">IF('Inputs &amp; Assumptions'!C4&gt;0,C12/'Inputs &amp; Assumptions'!C4,0)</f>
        <v>150</v>
      </c>
      <c r="E12" s="9" t="n">
        <f aca="false">IF('Inputs &amp; Assumptions'!C4*'Inputs &amp; Assumptions'!C5*12&gt;0,C12/('Inputs &amp; Assumptions'!C4*'Inputs &amp; Assumptions'!C5*12),0)</f>
        <v>0.00833333333333333</v>
      </c>
    </row>
    <row r="13" customFormat="false" ht="15" hidden="false" customHeight="false" outlineLevel="0" collapsed="false">
      <c r="B13" s="5" t="s">
        <v>146</v>
      </c>
      <c r="C13" s="6" t="n">
        <f aca="false">'Inputs &amp; Assumptions'!C40*'Inputs &amp; Assumptions'!C41</f>
        <v>2400</v>
      </c>
      <c r="D13" s="6" t="n">
        <f aca="false">IF('Inputs &amp; Assumptions'!C4&gt;0,C13/'Inputs &amp; Assumptions'!C4,0)</f>
        <v>80</v>
      </c>
      <c r="E13" s="9" t="n">
        <f aca="false">IF('Inputs &amp; Assumptions'!C4*'Inputs &amp; Assumptions'!C5*12&gt;0,C13/('Inputs &amp; Assumptions'!C4*'Inputs &amp; Assumptions'!C5*12),0)</f>
        <v>0.00444444444444444</v>
      </c>
    </row>
    <row r="14" customFormat="false" ht="15" hidden="false" customHeight="false" outlineLevel="0" collapsed="false">
      <c r="B14" s="5" t="s">
        <v>147</v>
      </c>
      <c r="C14" s="6" t="n">
        <f aca="false">'Inputs &amp; Assumptions'!C42*'Inputs &amp; Assumptions'!C43</f>
        <v>5500</v>
      </c>
      <c r="D14" s="6" t="n">
        <f aca="false">IF('Inputs &amp; Assumptions'!C4&gt;0,C14/'Inputs &amp; Assumptions'!C4,0)</f>
        <v>183.333333333333</v>
      </c>
      <c r="E14" s="9" t="n">
        <f aca="false">IF('Inputs &amp; Assumptions'!C4*'Inputs &amp; Assumptions'!C5*12&gt;0,C14/('Inputs &amp; Assumptions'!C4*'Inputs &amp; Assumptions'!C5*12),0)</f>
        <v>0.0101851851851852</v>
      </c>
    </row>
    <row r="15" customFormat="false" ht="15" hidden="false" customHeight="false" outlineLevel="0" collapsed="false">
      <c r="B15" s="5" t="s">
        <v>148</v>
      </c>
      <c r="C15" s="6" t="n">
        <f aca="false">'Inputs &amp; Assumptions'!C4*'Inputs &amp; Assumptions'!C9*'Inputs &amp; Assumptions'!C10</f>
        <v>26250</v>
      </c>
      <c r="D15" s="6" t="n">
        <f aca="false">IF('Inputs &amp; Assumptions'!C4&gt;0,C15/'Inputs &amp; Assumptions'!C4,0)</f>
        <v>875</v>
      </c>
      <c r="E15" s="9" t="n">
        <f aca="false">IF('Inputs &amp; Assumptions'!C4*'Inputs &amp; Assumptions'!C5*12&gt;0,C15/('Inputs &amp; Assumptions'!C4*'Inputs &amp; Assumptions'!C5*12),0)</f>
        <v>0.0486111111111111</v>
      </c>
    </row>
    <row r="16" customFormat="false" ht="15" hidden="false" customHeight="false" outlineLevel="0" collapsed="false">
      <c r="B16" s="5" t="s">
        <v>149</v>
      </c>
      <c r="C16" s="6" t="n">
        <f aca="false">'Inputs &amp; Assumptions'!C4*'Inputs &amp; Assumptions'!C5*12*'Inputs &amp; Assumptions'!C8</f>
        <v>37800</v>
      </c>
      <c r="D16" s="6" t="n">
        <f aca="false">IF('Inputs &amp; Assumptions'!C4&gt;0,C16/'Inputs &amp; Assumptions'!C4,0)</f>
        <v>1260</v>
      </c>
      <c r="E16" s="9" t="n">
        <f aca="false">IF('Inputs &amp; Assumptions'!C4*'Inputs &amp; Assumptions'!C5*12&gt;0,C16/('Inputs &amp; Assumptions'!C4*'Inputs &amp; Assumptions'!C5*12),0)</f>
        <v>0.07</v>
      </c>
    </row>
    <row r="17" customFormat="false" ht="15" hidden="false" customHeight="false" outlineLevel="0" collapsed="false">
      <c r="B17" s="5" t="s">
        <v>150</v>
      </c>
      <c r="C17" s="6" t="n">
        <f aca="false">'Inputs &amp; Assumptions'!C12*'Inputs &amp; Assumptions'!C11*52</f>
        <v>31200</v>
      </c>
      <c r="D17" s="6" t="n">
        <f aca="false">IF('Inputs &amp; Assumptions'!C4&gt;0,C17/'Inputs &amp; Assumptions'!C4,0)</f>
        <v>1040</v>
      </c>
      <c r="E17" s="9" t="n">
        <f aca="false">IF('Inputs &amp; Assumptions'!C4*'Inputs &amp; Assumptions'!C5*12&gt;0,C17/('Inputs &amp; Assumptions'!C4*'Inputs &amp; Assumptions'!C5*12),0)</f>
        <v>0.0577777777777778</v>
      </c>
    </row>
    <row r="18" customFormat="false" ht="15" hidden="false" customHeight="false" outlineLevel="0" collapsed="false">
      <c r="B18" s="5" t="s">
        <v>151</v>
      </c>
      <c r="C18" s="6" t="n">
        <f aca="false">'Inputs &amp; Assumptions'!C4*'Inputs &amp; Assumptions'!C46*'Inputs &amp; Assumptions'!C47</f>
        <v>5700</v>
      </c>
      <c r="D18" s="6" t="n">
        <f aca="false">IF('Inputs &amp; Assumptions'!C4&gt;0,C18/'Inputs &amp; Assumptions'!C4,0)</f>
        <v>190</v>
      </c>
      <c r="E18" s="9" t="n">
        <f aca="false">IF('Inputs &amp; Assumptions'!C4*'Inputs &amp; Assumptions'!C5*12&gt;0,C18/('Inputs &amp; Assumptions'!C4*'Inputs &amp; Assumptions'!C5*12),0)</f>
        <v>0.0105555555555556</v>
      </c>
    </row>
    <row r="19" customFormat="false" ht="15" hidden="false" customHeight="false" outlineLevel="0" collapsed="false">
      <c r="B19" s="5" t="s">
        <v>152</v>
      </c>
      <c r="C19" s="6" t="n">
        <f aca="false">'Inputs &amp; Assumptions'!C7*'Inputs &amp; Assumptions'!C48*12</f>
        <v>21000</v>
      </c>
      <c r="D19" s="6" t="n">
        <f aca="false">IF('Inputs &amp; Assumptions'!C4&gt;0,C19/'Inputs &amp; Assumptions'!C4,0)</f>
        <v>700</v>
      </c>
      <c r="E19" s="9" t="n">
        <f aca="false">IF('Inputs &amp; Assumptions'!C4*'Inputs &amp; Assumptions'!C5*12&gt;0,C19/('Inputs &amp; Assumptions'!C4*'Inputs &amp; Assumptions'!C5*12),0)</f>
        <v>0.0388888888888889</v>
      </c>
    </row>
    <row r="20" customFormat="false" ht="15" hidden="false" customHeight="false" outlineLevel="0" collapsed="false">
      <c r="B20" s="5" t="s">
        <v>153</v>
      </c>
      <c r="C20" s="6" t="n">
        <f aca="false">'Inputs &amp; Assumptions'!C7*'Inputs &amp; Assumptions'!C49*12</f>
        <v>24000</v>
      </c>
      <c r="D20" s="6" t="n">
        <f aca="false">IF('Inputs &amp; Assumptions'!C4&gt;0,C20/'Inputs &amp; Assumptions'!C4,0)</f>
        <v>800</v>
      </c>
      <c r="E20" s="9" t="n">
        <f aca="false">IF('Inputs &amp; Assumptions'!C4*'Inputs &amp; Assumptions'!C5*12&gt;0,C20/('Inputs &amp; Assumptions'!C4*'Inputs &amp; Assumptions'!C5*12),0)</f>
        <v>0.0444444444444444</v>
      </c>
    </row>
    <row r="21" customFormat="false" ht="15" hidden="false" customHeight="false" outlineLevel="0" collapsed="false">
      <c r="B21" s="5" t="s">
        <v>154</v>
      </c>
      <c r="C21" s="6" t="n">
        <f aca="false">'Inputs &amp; Assumptions'!C50*'Inputs &amp; Assumptions'!C51</f>
        <v>3500</v>
      </c>
      <c r="D21" s="6" t="n">
        <f aca="false">IF('Inputs &amp; Assumptions'!C4&gt;0,C21/'Inputs &amp; Assumptions'!C4,0)</f>
        <v>116.666666666667</v>
      </c>
      <c r="E21" s="9" t="n">
        <f aca="false">IF('Inputs &amp; Assumptions'!C4*'Inputs &amp; Assumptions'!C5*12&gt;0,C21/('Inputs &amp; Assumptions'!C4*'Inputs &amp; Assumptions'!C5*12),0)</f>
        <v>0.00648148148148148</v>
      </c>
    </row>
    <row r="22" customFormat="false" ht="15" hidden="false" customHeight="false" outlineLevel="0" collapsed="false">
      <c r="B22" s="5" t="s">
        <v>155</v>
      </c>
      <c r="C22" s="6" t="n">
        <f aca="false">'Inputs &amp; Assumptions'!C4*'Inputs &amp; Assumptions'!C9*'Inputs &amp; Assumptions'!C53*'Inputs &amp; Assumptions'!C11</f>
        <v>630</v>
      </c>
      <c r="D22" s="6" t="n">
        <f aca="false">IF('Inputs &amp; Assumptions'!C4&gt;0,C22/'Inputs &amp; Assumptions'!C4,0)</f>
        <v>21</v>
      </c>
      <c r="E22" s="9" t="n">
        <f aca="false">IF('Inputs &amp; Assumptions'!C4*'Inputs &amp; Assumptions'!C5*12&gt;0,C22/('Inputs &amp; Assumptions'!C4*'Inputs &amp; Assumptions'!C5*12),0)</f>
        <v>0.00116666666666667</v>
      </c>
    </row>
    <row r="23" customFormat="false" ht="15" hidden="false" customHeight="false" outlineLevel="0" collapsed="false">
      <c r="B23" s="5" t="s">
        <v>156</v>
      </c>
      <c r="C23" s="6" t="n">
        <f aca="false">'Inputs &amp; Assumptions'!C4*'Inputs &amp; Assumptions'!C9*'Inputs &amp; Assumptions'!C54</f>
        <v>2100</v>
      </c>
      <c r="D23" s="6" t="n">
        <f aca="false">IF('Inputs &amp; Assumptions'!C4&gt;0,C23/'Inputs &amp; Assumptions'!C4,0)</f>
        <v>70</v>
      </c>
      <c r="E23" s="9" t="n">
        <f aca="false">IF('Inputs &amp; Assumptions'!C4*'Inputs &amp; Assumptions'!C5*12&gt;0,C23/('Inputs &amp; Assumptions'!C4*'Inputs &amp; Assumptions'!C5*12),0)</f>
        <v>0.00388888888888889</v>
      </c>
    </row>
    <row r="24" customFormat="false" ht="15" hidden="false" customHeight="false" outlineLevel="0" collapsed="false">
      <c r="B24" s="5" t="s">
        <v>157</v>
      </c>
      <c r="C24" s="6" t="n">
        <f aca="false">'Inputs &amp; Assumptions'!C4*'Inputs &amp; Assumptions'!C55</f>
        <v>2250</v>
      </c>
      <c r="D24" s="6" t="n">
        <f aca="false">IF('Inputs &amp; Assumptions'!C4&gt;0,C24/'Inputs &amp; Assumptions'!C4,0)</f>
        <v>75</v>
      </c>
      <c r="E24" s="9" t="n">
        <f aca="false">IF('Inputs &amp; Assumptions'!C4*'Inputs &amp; Assumptions'!C5*12&gt;0,C24/('Inputs &amp; Assumptions'!C4*'Inputs &amp; Assumptions'!C5*12),0)</f>
        <v>0.00416666666666667</v>
      </c>
    </row>
    <row r="25" customFormat="false" ht="15" hidden="false" customHeight="false" outlineLevel="0" collapsed="false">
      <c r="B25" s="5" t="s">
        <v>158</v>
      </c>
      <c r="C25" s="6" t="n">
        <f aca="false">'Inputs &amp; Assumptions'!C7*'Inputs &amp; Assumptions'!C56*12</f>
        <v>15000</v>
      </c>
      <c r="D25" s="6" t="n">
        <f aca="false">IF('Inputs &amp; Assumptions'!C4&gt;0,C25/'Inputs &amp; Assumptions'!C4,0)</f>
        <v>500</v>
      </c>
      <c r="E25" s="9" t="n">
        <f aca="false">IF('Inputs &amp; Assumptions'!C4*'Inputs &amp; Assumptions'!C5*12&gt;0,C25/('Inputs &amp; Assumptions'!C4*'Inputs &amp; Assumptions'!C5*12),0)</f>
        <v>0.0277777777777778</v>
      </c>
    </row>
    <row r="26" customFormat="false" ht="15" hidden="false" customHeight="false" outlineLevel="0" collapsed="false">
      <c r="B26" s="5" t="s">
        <v>159</v>
      </c>
      <c r="C26" s="6" t="n">
        <f aca="false">'Inputs &amp; Assumptions'!C4*'Inputs &amp; Assumptions'!C57*12</f>
        <v>21600</v>
      </c>
      <c r="D26" s="6" t="n">
        <f aca="false">IF('Inputs &amp; Assumptions'!C4&gt;0,C26/'Inputs &amp; Assumptions'!C4,0)</f>
        <v>720</v>
      </c>
      <c r="E26" s="9" t="n">
        <f aca="false">IF('Inputs &amp; Assumptions'!C4*'Inputs &amp; Assumptions'!C5*12&gt;0,C26/('Inputs &amp; Assumptions'!C4*'Inputs &amp; Assumptions'!C5*12),0)</f>
        <v>0.04</v>
      </c>
    </row>
    <row r="27" customFormat="false" ht="15" hidden="false" customHeight="false" outlineLevel="0" collapsed="false">
      <c r="B27" s="5" t="s">
        <v>160</v>
      </c>
      <c r="C27" s="6" t="n">
        <f aca="false">'Inputs &amp; Assumptions'!C4*'Inputs &amp; Assumptions'!C13</f>
        <v>36000</v>
      </c>
      <c r="D27" s="6" t="n">
        <f aca="false">IF('Inputs &amp; Assumptions'!C4&gt;0,C27/'Inputs &amp; Assumptions'!C4,0)</f>
        <v>1200</v>
      </c>
      <c r="E27" s="9" t="n">
        <f aca="false">IF('Inputs &amp; Assumptions'!C4*'Inputs &amp; Assumptions'!C5*12&gt;0,C27/('Inputs &amp; Assumptions'!C4*'Inputs &amp; Assumptions'!C5*12),0)</f>
        <v>0.0666666666666667</v>
      </c>
    </row>
    <row r="28" customFormat="false" ht="15" hidden="false" customHeight="false" outlineLevel="0" collapsed="false">
      <c r="B28" s="5" t="s">
        <v>161</v>
      </c>
      <c r="C28" s="6" t="n">
        <f aca="false">'Inputs &amp; Assumptions'!C4*'Inputs &amp; Assumptions'!C14</f>
        <v>72000</v>
      </c>
      <c r="D28" s="6" t="n">
        <f aca="false">IF('Inputs &amp; Assumptions'!C4&gt;0,C28/'Inputs &amp; Assumptions'!C4,0)</f>
        <v>2400</v>
      </c>
      <c r="E28" s="9" t="n">
        <f aca="false">IF('Inputs &amp; Assumptions'!C4*'Inputs &amp; Assumptions'!C5*12&gt;0,C28/('Inputs &amp; Assumptions'!C4*'Inputs &amp; Assumptions'!C5*12),0)</f>
        <v>0.133333333333333</v>
      </c>
    </row>
    <row r="29" customFormat="false" ht="15" hidden="false" customHeight="false" outlineLevel="0" collapsed="false">
      <c r="B29" s="5" t="s">
        <v>162</v>
      </c>
      <c r="C29" s="6" t="n">
        <f aca="false">'Inputs &amp; Assumptions'!C4*'Inputs &amp; Assumptions'!C5*12*'Inputs &amp; Assumptions'!C58</f>
        <v>27000</v>
      </c>
      <c r="D29" s="6" t="n">
        <f aca="false">IF('Inputs &amp; Assumptions'!C4&gt;0,C29/'Inputs &amp; Assumptions'!C4,0)</f>
        <v>900</v>
      </c>
      <c r="E29" s="9" t="n">
        <f aca="false">IF('Inputs &amp; Assumptions'!C4*'Inputs &amp; Assumptions'!C5*12&gt;0,C29/('Inputs &amp; Assumptions'!C4*'Inputs &amp; Assumptions'!C5*12),0)</f>
        <v>0.05</v>
      </c>
    </row>
    <row r="30" customFormat="false" ht="15" hidden="false" customHeight="false" outlineLevel="0" collapsed="false">
      <c r="B30" s="28" t="s">
        <v>163</v>
      </c>
      <c r="C30" s="26" t="n">
        <f aca="false">SUM(C4:C29)</f>
        <v>421785</v>
      </c>
      <c r="D30" s="26" t="n">
        <f aca="false">IF('Inputs &amp; Assumptions'!C4&gt;0,C30/'Inputs &amp; Assumptions'!C4,0)</f>
        <v>14059.5</v>
      </c>
      <c r="E30" s="29" t="n">
        <f aca="false">IF('Inputs &amp; Assumptions'!C4*'Inputs &amp; Assumptions'!C5*12&gt;0,C30/('Inputs &amp; Assumptions'!C4*'Inputs &amp; Assumptions'!C5*12),0)</f>
        <v>0.781083333333333</v>
      </c>
    </row>
    <row r="33" customFormat="false" ht="27.75" hidden="false" customHeight="true" outlineLevel="0" collapsed="false">
      <c r="A33" s="1" t="s">
        <v>164</v>
      </c>
      <c r="B33" s="1"/>
      <c r="C33" s="1"/>
      <c r="D33" s="1"/>
      <c r="E33" s="1"/>
      <c r="F33" s="1"/>
    </row>
    <row r="35" customFormat="false" ht="15" hidden="false" customHeight="false" outlineLevel="0" collapsed="false">
      <c r="B35" s="30" t="s">
        <v>165</v>
      </c>
      <c r="C35" s="30" t="s">
        <v>166</v>
      </c>
      <c r="D35" s="30" t="s">
        <v>167</v>
      </c>
      <c r="E35" s="30" t="s">
        <v>168</v>
      </c>
    </row>
    <row r="36" customFormat="false" ht="15" hidden="false" customHeight="false" outlineLevel="0" collapsed="false">
      <c r="B36" s="5" t="s">
        <v>169</v>
      </c>
      <c r="C36" s="21" t="n">
        <v>0.25</v>
      </c>
      <c r="D36" s="31" t="n">
        <f aca="false">IF('Automation Costs'!C6=1,C36*(C4+C5),0)</f>
        <v>12348.75</v>
      </c>
      <c r="E36" s="32" t="str">
        <f aca="false">IF('Automation Costs'!C6=1,"ON","OFF")</f>
        <v>ON</v>
      </c>
    </row>
    <row r="37" customFormat="false" ht="15" hidden="false" customHeight="false" outlineLevel="0" collapsed="false">
      <c r="B37" s="5" t="s">
        <v>170</v>
      </c>
      <c r="C37" s="21" t="n">
        <v>0.3</v>
      </c>
      <c r="D37" s="31" t="n">
        <f aca="false">IF('Automation Costs'!C13=1,C37*(C6),0)</f>
        <v>2250</v>
      </c>
      <c r="E37" s="32" t="str">
        <f aca="false">IF('Automation Costs'!C13=1,"ON","OFF")</f>
        <v>ON</v>
      </c>
    </row>
    <row r="38" customFormat="false" ht="15" hidden="false" customHeight="false" outlineLevel="0" collapsed="false">
      <c r="B38" s="5" t="s">
        <v>171</v>
      </c>
      <c r="C38" s="21" t="n">
        <v>0.15</v>
      </c>
      <c r="D38" s="31" t="n">
        <f aca="false">IF('Automation Costs'!C12=1,C38*(C7),0)</f>
        <v>1856.25</v>
      </c>
      <c r="E38" s="32" t="str">
        <f aca="false">IF('Automation Costs'!C12=1,"ON","OFF")</f>
        <v>ON</v>
      </c>
    </row>
    <row r="39" customFormat="false" ht="15" hidden="false" customHeight="false" outlineLevel="0" collapsed="false">
      <c r="B39" s="5" t="s">
        <v>172</v>
      </c>
      <c r="C39" s="21" t="n">
        <v>0.9</v>
      </c>
      <c r="D39" s="31" t="n">
        <f aca="false">IF('Automation Costs'!C5=1,C39*(C9),0)</f>
        <v>6750</v>
      </c>
      <c r="E39" s="32" t="str">
        <f aca="false">IF('Automation Costs'!C5=1,"ON","OFF")</f>
        <v>ON</v>
      </c>
    </row>
    <row r="40" customFormat="false" ht="15" hidden="false" customHeight="false" outlineLevel="0" collapsed="false">
      <c r="B40" s="5" t="s">
        <v>173</v>
      </c>
      <c r="C40" s="21" t="n">
        <v>0.95</v>
      </c>
      <c r="D40" s="31" t="n">
        <f aca="false">IF('Automation Costs'!C5=1,C40*(C10),0)</f>
        <v>1695.75</v>
      </c>
      <c r="E40" s="32" t="str">
        <f aca="false">IF('Automation Costs'!C5=1,"ON","OFF")</f>
        <v>ON</v>
      </c>
    </row>
    <row r="41" customFormat="false" ht="15" hidden="false" customHeight="false" outlineLevel="0" collapsed="false">
      <c r="B41" s="5" t="s">
        <v>174</v>
      </c>
      <c r="C41" s="21" t="n">
        <v>0.8</v>
      </c>
      <c r="D41" s="31" t="n">
        <f aca="false">IF('Automation Costs'!C5=1,C41*(C11),0)</f>
        <v>1440</v>
      </c>
      <c r="E41" s="32" t="str">
        <f aca="false">IF('Automation Costs'!C5=1,"ON","OFF")</f>
        <v>ON</v>
      </c>
    </row>
    <row r="42" customFormat="false" ht="15" hidden="false" customHeight="false" outlineLevel="0" collapsed="false">
      <c r="B42" s="5" t="s">
        <v>175</v>
      </c>
      <c r="C42" s="21" t="n">
        <v>0.2</v>
      </c>
      <c r="D42" s="31" t="n">
        <f aca="false">IF('Automation Costs'!C7=1,C42*(C12),0)</f>
        <v>900</v>
      </c>
      <c r="E42" s="32" t="str">
        <f aca="false">IF('Automation Costs'!C7=1,"ON","OFF")</f>
        <v>ON</v>
      </c>
    </row>
    <row r="43" customFormat="false" ht="15" hidden="false" customHeight="false" outlineLevel="0" collapsed="false">
      <c r="B43" s="5" t="s">
        <v>176</v>
      </c>
      <c r="C43" s="21" t="n">
        <v>0.15</v>
      </c>
      <c r="D43" s="31" t="n">
        <f aca="false">IF('Automation Costs'!C8=1,C43*(C16),0)</f>
        <v>5670</v>
      </c>
      <c r="E43" s="32" t="str">
        <f aca="false">IF('Automation Costs'!C8=1,"ON","OFF")</f>
        <v>ON</v>
      </c>
    </row>
    <row r="44" customFormat="false" ht="15" hidden="false" customHeight="false" outlineLevel="0" collapsed="false">
      <c r="B44" s="5" t="s">
        <v>177</v>
      </c>
      <c r="C44" s="21" t="n">
        <v>0.45</v>
      </c>
      <c r="D44" s="31" t="n">
        <f aca="false">IF('Automation Costs'!C4=1,C44*(C17),0)</f>
        <v>14040</v>
      </c>
      <c r="E44" s="32" t="str">
        <f aca="false">IF('Automation Costs'!C4=1,"ON","OFF")</f>
        <v>ON</v>
      </c>
    </row>
    <row r="45" customFormat="false" ht="15" hidden="false" customHeight="false" outlineLevel="0" collapsed="false">
      <c r="B45" s="5" t="s">
        <v>178</v>
      </c>
      <c r="C45" s="21" t="n">
        <v>0.7</v>
      </c>
      <c r="D45" s="31" t="n">
        <f aca="false">IF('Automation Costs'!C10=1,C45*(C22),0)</f>
        <v>441</v>
      </c>
      <c r="E45" s="32" t="str">
        <f aca="false">IF('Automation Costs'!C10=1,"ON","OFF")</f>
        <v>ON</v>
      </c>
    </row>
    <row r="46" customFormat="false" ht="15" hidden="false" customHeight="false" outlineLevel="0" collapsed="false">
      <c r="B46" s="5" t="s">
        <v>179</v>
      </c>
      <c r="C46" s="21" t="n">
        <v>0.3</v>
      </c>
      <c r="D46" s="31" t="n">
        <f aca="false">IF('Automation Costs'!C8=1,C46*(C23),0)</f>
        <v>630</v>
      </c>
      <c r="E46" s="32" t="str">
        <f aca="false">IF('Automation Costs'!C8=1,"ON","OFF")</f>
        <v>ON</v>
      </c>
    </row>
    <row r="47" customFormat="false" ht="15" hidden="false" customHeight="false" outlineLevel="0" collapsed="false">
      <c r="B47" s="5" t="s">
        <v>180</v>
      </c>
      <c r="C47" s="21" t="n">
        <v>0.5</v>
      </c>
      <c r="D47" s="31" t="n">
        <f aca="false">IF('Automation Costs'!C14=1,C47*(C17*0.1),0)</f>
        <v>1560</v>
      </c>
      <c r="E47" s="32" t="str">
        <f aca="false">IF('Automation Costs'!C14=1,"ON","OFF")</f>
        <v>ON</v>
      </c>
    </row>
    <row r="48" customFormat="false" ht="15" hidden="false" customHeight="false" outlineLevel="0" collapsed="false">
      <c r="B48" s="5" t="s">
        <v>181</v>
      </c>
      <c r="C48" s="21" t="n">
        <v>0.1</v>
      </c>
      <c r="D48" s="31" t="n">
        <f aca="false">IF('Automation Costs'!C11=1,C48*(C15),0)</f>
        <v>2625</v>
      </c>
      <c r="E48" s="32" t="str">
        <f aca="false">IF('Automation Costs'!C11=1,"ON","OFF")</f>
        <v>ON</v>
      </c>
    </row>
    <row r="49" customFormat="false" ht="15" hidden="false" customHeight="false" outlineLevel="0" collapsed="false">
      <c r="B49" s="5" t="s">
        <v>182</v>
      </c>
      <c r="C49" s="21" t="n">
        <v>0.4</v>
      </c>
      <c r="D49" s="31" t="n">
        <f aca="false">IF('Automation Costs'!C12=1,C49*(C27*0.05),0)</f>
        <v>720</v>
      </c>
      <c r="E49" s="32" t="str">
        <f aca="false">IF('Automation Costs'!C12=1,"ON","OFF")</f>
        <v>ON</v>
      </c>
    </row>
    <row r="50" customFormat="false" ht="15" hidden="false" customHeight="false" outlineLevel="0" collapsed="false">
      <c r="B50" s="8" t="s">
        <v>183</v>
      </c>
      <c r="D50" s="11" t="n">
        <f aca="false">SUM(D36:D49)</f>
        <v>52926.75</v>
      </c>
    </row>
  </sheetData>
  <mergeCells count="2">
    <mergeCell ref="A1:F1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2026-04-09T01:30:33Z</dcterms:created>
  <dc:creator>openpyxl</dc:creator>
  <dc:description/>
  <dc:language>en-US</dc:language>
  <cp:lastModifiedBy/>
  <dcterms:modified xsi:type="dcterms:W3CDTF">2026-04-09T01:30:33Z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