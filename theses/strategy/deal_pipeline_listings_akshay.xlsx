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Listings" sheetId="1" state="visible" r:id="rId3"/>
    <sheet name="Market Compare" sheetId="2" state="visible" r:id="rId4"/>
    <sheet name="Top 10 Deals" sheetId="3" state="visible" r:id="rId5"/>
  </sheets>
  <definedNames>
    <definedName function="false" hidden="true" localSheetId="0" name="_xlnm._FilterDatabase" vbProcedure="false">'All Listings'!$A$6:$S$83</definedName>
    <definedName function="false" hidden="true" localSheetId="1" name="_xlnm._FilterDatabase" vbProcedure="false">'Market Compare'!$A$3:$J$28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<sst xmlns="http://schemas.openxmlformats.org/spreadsheetml/2006/main" count="712" uniqueCount="272">
  <si>
    <t xml:space="preserve">DEAL PIPELINE: ALL LISTINGS</t>
  </si>
  <si>
    <t xml:space="preserve">SCORING WEIGHTS (adjust to re-rank)</t>
  </si>
  <si>
    <t xml:space="preserve">Low $/Unit</t>
  </si>
  <si>
    <t xml:space="preserve">High Cap Rate</t>
  </si>
  <si>
    <t xml:space="preserve">High Occupancy</t>
  </si>
  <si>
    <t xml:space="preserve">High Unit Count</t>
  </si>
  <si>
    <t xml:space="preserve">#</t>
  </si>
  <si>
    <t xml:space="preserve">Thesis</t>
  </si>
  <si>
    <t xml:space="preserve">Metro</t>
  </si>
  <si>
    <t xml:space="preserve">State</t>
  </si>
  <si>
    <t xml:space="preserve">Address</t>
  </si>
  <si>
    <t xml:space="preserve">Price ($)</t>
  </si>
  <si>
    <t xml:space="preserve">Units</t>
  </si>
  <si>
    <t xml:space="preserve">$/Unit</t>
  </si>
  <si>
    <t xml:space="preserve">Cap Rate %</t>
  </si>
  <si>
    <t xml:space="preserve">Year Built</t>
  </si>
  <si>
    <t xml:space="preserve">Occ %</t>
  </si>
  <si>
    <t xml:space="preserve">Notes</t>
  </si>
  <si>
    <t xml:space="preserve">Listing URL</t>
  </si>
  <si>
    <t xml:space="preserve">Price Score</t>
  </si>
  <si>
    <t xml:space="preserve">Cap Score</t>
  </si>
  <si>
    <t xml:space="preserve">Occ Score</t>
  </si>
  <si>
    <t xml:space="preserve">Scale Score</t>
  </si>
  <si>
    <t xml:space="preserve">TOTAL</t>
  </si>
  <si>
    <t xml:space="preserve">RANK</t>
  </si>
  <si>
    <t xml:space="preserve">T1</t>
  </si>
  <si>
    <t xml:space="preserve">Syracuse</t>
  </si>
  <si>
    <t xml:space="preserve">NY</t>
  </si>
  <si>
    <t xml:space="preserve">1313 Butternut St, 13208</t>
  </si>
  <si>
    <t xml:space="preserve">Kimton Place; 25,488 SF</t>
  </si>
  <si>
    <t xml:space="preserve">Link</t>
  </si>
  <si>
    <t xml:space="preserve">1000 Bellevue Ave, 13204</t>
  </si>
  <si>
    <t xml:space="preserve">NOI ~$179K; value-add conversions</t>
  </si>
  <si>
    <t xml:space="preserve">312 Wilkinson St, 13204</t>
  </si>
  <si>
    <t xml:space="preserve">20,000 SF; Class C</t>
  </si>
  <si>
    <t xml:space="preserve">827 Park St, 13208</t>
  </si>
  <si>
    <t xml:space="preserve">Fully renovated; all new systems</t>
  </si>
  <si>
    <t xml:space="preserve">600 South Ave, 13204</t>
  </si>
  <si>
    <t xml:space="preserve">Package deal with 827 Park</t>
  </si>
  <si>
    <t xml:space="preserve">Toledo</t>
  </si>
  <si>
    <t xml:space="preserve">OH</t>
  </si>
  <si>
    <t xml:space="preserve">1819 Garden Ridge Dr, 43614</t>
  </si>
  <si>
    <t xml:space="preserve">Rents $700-$975; Garden Ridge</t>
  </si>
  <si>
    <t xml:space="preserve">3917 Airport Hwy, 43615</t>
  </si>
  <si>
    <t xml:space="preserve">Bryan Manor; NOI $132K; $124K capex since 2021</t>
  </si>
  <si>
    <t xml:space="preserve">4760 Dorr St, 43615</t>
  </si>
  <si>
    <t xml:space="preserve">Inverness Manor; below-market rents</t>
  </si>
  <si>
    <t xml:space="preserve">2010 Arlington Ave, 43609</t>
  </si>
  <si>
    <t xml:space="preserve">Arlington Arms; recent renos</t>
  </si>
  <si>
    <t xml:space="preserve">531 Broadway St</t>
  </si>
  <si>
    <t xml:space="preserve">High occupancy</t>
  </si>
  <si>
    <t xml:space="preserve">Dayton</t>
  </si>
  <si>
    <t xml:space="preserve">200 Central Ave, 45406</t>
  </si>
  <si>
    <t xml:space="preserve">42 units; Marcus &amp; Millichap; Grafton Hill Historic</t>
  </si>
  <si>
    <t xml:space="preserve">Akron</t>
  </si>
  <si>
    <t xml:space="preserve">2323 Newton St, 44305</t>
  </si>
  <si>
    <t xml:space="preserve">Newton House; new boiler/roof/tanks/lot</t>
  </si>
  <si>
    <t xml:space="preserve">685 Sherman St, 44311</t>
  </si>
  <si>
    <t xml:space="preserve">Ryan House; near target ZIPs</t>
  </si>
  <si>
    <t xml:space="preserve">Springfield</t>
  </si>
  <si>
    <t xml:space="preserve">MO</t>
  </si>
  <si>
    <t xml:space="preserve">2420 E Blaine St, 65803</t>
  </si>
  <si>
    <t xml:space="preserve">Gut reno 2024-25; 313 DOM = negotiate</t>
  </si>
  <si>
    <t xml:space="preserve">608-614 Walnut St, 65806</t>
  </si>
  <si>
    <t xml:space="preserve">SVN listing; package deal</t>
  </si>
  <si>
    <t xml:space="preserve">2206 E Macs Ct, 65804</t>
  </si>
  <si>
    <t xml:space="preserve">Williamsburg Townhomes</t>
  </si>
  <si>
    <t xml:space="preserve">Lansing</t>
  </si>
  <si>
    <t xml:space="preserve">MI</t>
  </si>
  <si>
    <t xml:space="preserve">645 E Jolly Rd, 48910</t>
  </si>
  <si>
    <t xml:space="preserve">Jolly Flatz; Sec 8; waitlist</t>
  </si>
  <si>
    <t xml:space="preserve">23-Unit, 48910</t>
  </si>
  <si>
    <t xml:space="preserve">Crexi; address in OM</t>
  </si>
  <si>
    <t xml:space="preserve">18-Unit OZ, Lansing</t>
  </si>
  <si>
    <t xml:space="preserve">Opportunity Zone</t>
  </si>
  <si>
    <t xml:space="preserve">Evansville</t>
  </si>
  <si>
    <t xml:space="preserve">IN</t>
  </si>
  <si>
    <t xml:space="preserve">500-516 Richardt Ave, 47711</t>
  </si>
  <si>
    <t xml:space="preserve">100% occ; rents below market; $5K below $1M floor</t>
  </si>
  <si>
    <t xml:space="preserve">T2</t>
  </si>
  <si>
    <t xml:space="preserve">Austin</t>
  </si>
  <si>
    <t xml:space="preserve">TX</t>
  </si>
  <si>
    <t xml:space="preserve">1402 E Saint Johns Ave, 78752</t>
  </si>
  <si>
    <t xml:space="preserve">Palm Square; distress signal at $84K/unit in Austin</t>
  </si>
  <si>
    <t xml:space="preserve">1710 Wooten Park Dr, 78757</t>
  </si>
  <si>
    <t xml:space="preserve">Wooten Plaza; possible liquidation</t>
  </si>
  <si>
    <t xml:space="preserve">8905 Tronewood Dr, 78758</t>
  </si>
  <si>
    <t xml:space="preserve">Trone Villa; price upon request; long DOM</t>
  </si>
  <si>
    <t xml:space="preserve">2813 Rio Grande St, 78705</t>
  </si>
  <si>
    <t xml:space="preserve">UT/West Campus premium</t>
  </si>
  <si>
    <t xml:space="preserve">San Antonio</t>
  </si>
  <si>
    <t xml:space="preserve">1501 E Southcross Blvd, 78223</t>
  </si>
  <si>
    <t xml:space="preserve">New build; NOI $279K; insurance only $9,240/yr</t>
  </si>
  <si>
    <t xml:space="preserve">327 E Locust St, 78212</t>
  </si>
  <si>
    <t xml:space="preserve">Tobin Hill Lofts; reno 2023; Pearl District</t>
  </si>
  <si>
    <t xml:space="preserve">12-Unit, SA</t>
  </si>
  <si>
    <t xml:space="preserve">Deep discount; distress signal</t>
  </si>
  <si>
    <t xml:space="preserve">403 W Hollywood Ave, 78212</t>
  </si>
  <si>
    <t xml:space="preserve">Reno 2024</t>
  </si>
  <si>
    <t xml:space="preserve">Memphis</t>
  </si>
  <si>
    <t xml:space="preserve">TN</t>
  </si>
  <si>
    <t xml:space="preserve">31 S McLean Blvd, 38104</t>
  </si>
  <si>
    <t xml:space="preserve">Midtown; near target ZIPs</t>
  </si>
  <si>
    <t xml:space="preserve">2450 Ketchum, 38114</t>
  </si>
  <si>
    <t xml:space="preserve">Miracle Manor; VALUE-ADD explicit</t>
  </si>
  <si>
    <t xml:space="preserve">Phoenix</t>
  </si>
  <si>
    <t xml:space="preserve">AZ</t>
  </si>
  <si>
    <t xml:space="preserve">3224 W Madison St, 85009</t>
  </si>
  <si>
    <t xml:space="preserve">Marcus &amp; Millichap</t>
  </si>
  <si>
    <t xml:space="preserve">9-Unit Stabilized, Phoenix</t>
  </si>
  <si>
    <t xml:space="preserve">Value-Add Upside language</t>
  </si>
  <si>
    <t xml:space="preserve">1452 E Cinnabar, 85020</t>
  </si>
  <si>
    <t xml:space="preserve">Aspire Preserve; Class B</t>
  </si>
  <si>
    <t xml:space="preserve">Chattanooga</t>
  </si>
  <si>
    <t xml:space="preserve">23-Unit, 37411</t>
  </si>
  <si>
    <t xml:space="preserve">Garden-style</t>
  </si>
  <si>
    <t xml:space="preserve">16-Unit, 37404</t>
  </si>
  <si>
    <t xml:space="preserve">Highland Park area</t>
  </si>
  <si>
    <t xml:space="preserve">10-Unit Red Bank, 37415</t>
  </si>
  <si>
    <t xml:space="preserve">6,000 SF</t>
  </si>
  <si>
    <t xml:space="preserve">Jacksonville</t>
  </si>
  <si>
    <t xml:space="preserve">FL</t>
  </si>
  <si>
    <t xml:space="preserve">Riverside 12 Units, 32205</t>
  </si>
  <si>
    <t xml:space="preserve">3 buildings; near target ZIP</t>
  </si>
  <si>
    <t xml:space="preserve">Birmingham</t>
  </si>
  <si>
    <t xml:space="preserve">AL</t>
  </si>
  <si>
    <t xml:space="preserve">914 14th St SW, 35211</t>
  </si>
  <si>
    <t xml:space="preserve">Fully reno; 80%+ Sec 8</t>
  </si>
  <si>
    <t xml:space="preserve">1609 6th St N, 35204</t>
  </si>
  <si>
    <t xml:space="preserve">Fully occupied; near downtown</t>
  </si>
  <si>
    <t xml:space="preserve">23-Unit OZ, 59th St N, 35234</t>
  </si>
  <si>
    <t xml:space="preserve">Opportunity Zone; renovated</t>
  </si>
  <si>
    <t xml:space="preserve">Uptown Villas, 35234</t>
  </si>
  <si>
    <t xml:space="preserve">OZ; Shuttlesworth Dr</t>
  </si>
  <si>
    <t xml:space="preserve">3-Property Portfolio, BHM</t>
  </si>
  <si>
    <t xml:space="preserve">Portfolio deal</t>
  </si>
  <si>
    <t xml:space="preserve">24-Unit, Birmingham</t>
  </si>
  <si>
    <t xml:space="preserve">Lowest $/unit in Thesis 2</t>
  </si>
  <si>
    <t xml:space="preserve">Little Rock</t>
  </si>
  <si>
    <t xml:space="preserve">AR</t>
  </si>
  <si>
    <t xml:space="preserve">Covenant Cove, 72204</t>
  </si>
  <si>
    <t xml:space="preserve">ASSUMABLE LOAN at 3.750%</t>
  </si>
  <si>
    <t xml:space="preserve">OKC</t>
  </si>
  <si>
    <t xml:space="preserve">OK</t>
  </si>
  <si>
    <t xml:space="preserve">512 SW 43rd St, 73109</t>
  </si>
  <si>
    <t xml:space="preserve">Embrey Apts; rents $650/mo; 36-unit package avail</t>
  </si>
  <si>
    <t xml:space="preserve">506 SW 24th St, 73109</t>
  </si>
  <si>
    <t xml:space="preserve">Class C</t>
  </si>
  <si>
    <t xml:space="preserve">T3</t>
  </si>
  <si>
    <t xml:space="preserve">Boise</t>
  </si>
  <si>
    <t xml:space="preserve">ID</t>
  </si>
  <si>
    <t xml:space="preserve">2209 W Idaho St, 83702</t>
  </si>
  <si>
    <t xml:space="preserve">Downtown Boise; lowest $/unit in Boise</t>
  </si>
  <si>
    <t xml:space="preserve">4806 W Richardson St, 83705</t>
  </si>
  <si>
    <t xml:space="preserve">3 parcels; reno; tax $7,392/yr ($616/unit)</t>
  </si>
  <si>
    <t xml:space="preserve">1910 S Vista Ave, 83705</t>
  </si>
  <si>
    <t xml:space="preserve">New 9-unit complex</t>
  </si>
  <si>
    <t xml:space="preserve">Cheyenne</t>
  </si>
  <si>
    <t xml:space="preserve">WY</t>
  </si>
  <si>
    <t xml:space="preserve">600 Central Ave, 82007</t>
  </si>
  <si>
    <t xml:space="preserve">Tax $1,345/yr ($79/unit!); 0% state tax; 2yr DOM</t>
  </si>
  <si>
    <t xml:space="preserve">Las Vegas</t>
  </si>
  <si>
    <t xml:space="preserve">NV</t>
  </si>
  <si>
    <t xml:space="preserve">1101 E Clark Ave, 89101</t>
  </si>
  <si>
    <t xml:space="preserve">Downtown</t>
  </si>
  <si>
    <t xml:space="preserve">317 S 9th St, 89101</t>
  </si>
  <si>
    <t xml:space="preserve">2100-2104 Sunrise Ave, 89101</t>
  </si>
  <si>
    <t xml:space="preserve">—</t>
  </si>
  <si>
    <t xml:space="preserve">316-322 N 14th St, 89101</t>
  </si>
  <si>
    <t xml:space="preserve">12-Unit, 89101</t>
  </si>
  <si>
    <t xml:space="preserve">7-Unit, 89101</t>
  </si>
  <si>
    <t xml:space="preserve">26-Unit, 89101</t>
  </si>
  <si>
    <t xml:space="preserve">Highest cap in LV</t>
  </si>
  <si>
    <t xml:space="preserve">45-Unit, 89101</t>
  </si>
  <si>
    <t xml:space="preserve">$100K/unit; large scale</t>
  </si>
  <si>
    <t xml:space="preserve">38-Unit, 89107</t>
  </si>
  <si>
    <t xml:space="preserve">Target ZIP</t>
  </si>
  <si>
    <t xml:space="preserve">12-Unit, 89104</t>
  </si>
  <si>
    <t xml:space="preserve">Huntsville</t>
  </si>
  <si>
    <t xml:space="preserve">3004 Clopton St SW, 35805</t>
  </si>
  <si>
    <t xml:space="preserve">Full reno 2025; near Redstone</t>
  </si>
  <si>
    <t xml:space="preserve">SE Portfolio, Huntsville</t>
  </si>
  <si>
    <t xml:space="preserve">4 MF properties</t>
  </si>
  <si>
    <t xml:space="preserve">Reno</t>
  </si>
  <si>
    <t xml:space="preserve">1133 Buena Vista Ave, 89503</t>
  </si>
  <si>
    <t xml:space="preserve">Manzanita Manor; student housing</t>
  </si>
  <si>
    <t xml:space="preserve">1045 Riverside Dr, 89503</t>
  </si>
  <si>
    <t xml:space="preserve">Riverside Manor; 9,679 SF</t>
  </si>
  <si>
    <t xml:space="preserve">3890 Neil Rd, 89502</t>
  </si>
  <si>
    <t xml:space="preserve">Class B/C</t>
  </si>
  <si>
    <t xml:space="preserve">927 &amp; 547 Ralston St (portfolio)</t>
  </si>
  <si>
    <t xml:space="preserve">Highest cap in Reno</t>
  </si>
  <si>
    <t xml:space="preserve">747 Willow St, 89502</t>
  </si>
  <si>
    <t xml:space="preserve">Veterans/Housing Auth tenants</t>
  </si>
  <si>
    <t xml:space="preserve">911-921 Willow St, 89502</t>
  </si>
  <si>
    <t xml:space="preserve">Pair with 747 Willow (21 units total)</t>
  </si>
  <si>
    <t xml:space="preserve">Pocatello</t>
  </si>
  <si>
    <t xml:space="preserve">310 E Center St, 83201</t>
  </si>
  <si>
    <t xml:space="preserve">Leonards Apts; 28,492 SF; downtown</t>
  </si>
  <si>
    <t xml:space="preserve">856 E Carter St, 83201</t>
  </si>
  <si>
    <t xml:space="preserve">Near ISU; turnkey</t>
  </si>
  <si>
    <t xml:space="preserve">1901 S 4th Ave, 83201</t>
  </si>
  <si>
    <t xml:space="preserve">Arbor Court; newly remodeled</t>
  </si>
  <si>
    <t xml:space="preserve">Twin Falls</t>
  </si>
  <si>
    <t xml:space="preserve">357 Blue Lakes Blvd N, 83301</t>
  </si>
  <si>
    <t xml:space="preserve">Maple Grove; condo-titled units</t>
  </si>
  <si>
    <t xml:space="preserve">259 Pheasant Rd W, 83301</t>
  </si>
  <si>
    <t xml:space="preserve">Pheasant View; new roofs; value-add</t>
  </si>
  <si>
    <t xml:space="preserve">Fayetteville</t>
  </si>
  <si>
    <t xml:space="preserve">523 S Dockery Ln, 72701</t>
  </si>
  <si>
    <t xml:space="preserve">Price reduced; 98% hist occ</t>
  </si>
  <si>
    <t xml:space="preserve">Tulsa</t>
  </si>
  <si>
    <t xml:space="preserve">6321 E 9th St, 74112</t>
  </si>
  <si>
    <t xml:space="preserve">Melrose; ASSUMABLE FINANCING; pool</t>
  </si>
  <si>
    <t xml:space="preserve">5303 E 12th St, 74112</t>
  </si>
  <si>
    <t xml:space="preserve">Darlington; expansion for 4-5 more units</t>
  </si>
  <si>
    <t xml:space="preserve">2507 S 87th Ave E, 74129</t>
  </si>
  <si>
    <t xml:space="preserve">Silverwood; garden-style</t>
  </si>
  <si>
    <t xml:space="preserve">CROSS-MARKET COMPARISON</t>
  </si>
  <si>
    <t xml:space="preserve">Market</t>
  </si>
  <si>
    <t xml:space="preserve">Listings Found</t>
  </si>
  <si>
    <t xml:space="preserve">Avg $/Unit</t>
  </si>
  <si>
    <t xml:space="preserve">Best Cap Rate %</t>
  </si>
  <si>
    <t xml:space="preserve">Lowest $/Unit</t>
  </si>
  <si>
    <t xml:space="preserve">Assumable Debt?</t>
  </si>
  <si>
    <t xml:space="preserve">Best Deal Address</t>
  </si>
  <si>
    <t xml:space="preserve">No</t>
  </si>
  <si>
    <t xml:space="preserve">1313 Butternut St (Kimton Place)</t>
  </si>
  <si>
    <t xml:space="preserve">3917 Airport Hwy (Bryan Manor)</t>
  </si>
  <si>
    <t xml:space="preserve">200 Central Ave</t>
  </si>
  <si>
    <t xml:space="preserve">2323 Newton St</t>
  </si>
  <si>
    <t xml:space="preserve">608-614 Walnut St</t>
  </si>
  <si>
    <t xml:space="preserve">23-Unit (Crexi)</t>
  </si>
  <si>
    <t xml:space="preserve">500-516 Richardt Ave</t>
  </si>
  <si>
    <t xml:space="preserve">1402 E Saint Johns (Palm Square)</t>
  </si>
  <si>
    <t xml:space="preserve">12-Unit (Crexi)</t>
  </si>
  <si>
    <t xml:space="preserve">No (2.94% nearby)</t>
  </si>
  <si>
    <t xml:space="preserve">31 S McLean Blvd</t>
  </si>
  <si>
    <t xml:space="preserve">9-Unit Stabilized</t>
  </si>
  <si>
    <t xml:space="preserve">Nearby</t>
  </si>
  <si>
    <t xml:space="preserve">Riverside 12 Units</t>
  </si>
  <si>
    <t xml:space="preserve">24-Unit (Crexi)</t>
  </si>
  <si>
    <t xml:space="preserve">YES (3.75%)</t>
  </si>
  <si>
    <t xml:space="preserve">Covenant Cove</t>
  </si>
  <si>
    <t xml:space="preserve">512 SW 43rd (Embrey)</t>
  </si>
  <si>
    <t xml:space="preserve">2209 W Idaho St</t>
  </si>
  <si>
    <t xml:space="preserve">600 Central Ave</t>
  </si>
  <si>
    <t xml:space="preserve">3004 Clopton St SW</t>
  </si>
  <si>
    <t xml:space="preserve">1133 Buena Vista (Manzanita)</t>
  </si>
  <si>
    <t xml:space="preserve">310 E Center St (Leonards)</t>
  </si>
  <si>
    <t xml:space="preserve">259 Pheasant Rd W</t>
  </si>
  <si>
    <t xml:space="preserve">523 S Dockery Ln</t>
  </si>
  <si>
    <t xml:space="preserve">YES (assumable)</t>
  </si>
  <si>
    <t xml:space="preserve">6321 E 9th St (Melrose)</t>
  </si>
  <si>
    <t xml:space="preserve">TOP 10 DEALS BY SCORE</t>
  </si>
  <si>
    <t xml:space="preserve">These are auto-ranked from the All Listings sheet. Change weights there to update.</t>
  </si>
  <si>
    <t xml:space="preserve">Rank</t>
  </si>
  <si>
    <t xml:space="preserve">Score</t>
  </si>
  <si>
    <t xml:space="preserve">Why This Deal</t>
  </si>
  <si>
    <t xml:space="preserve">Assumable debt; 8.3% cap; $70K/unit; 91% occ; pool</t>
  </si>
  <si>
    <t xml:space="preserve">1313 Butternut St (Kimton)</t>
  </si>
  <si>
    <t xml:space="preserve">$51K/unit; 100% occ; 36 units = scale</t>
  </si>
  <si>
    <t xml:space="preserve">9.4% cap; $79/unit tax; 0% state tax; 2yr DOM</t>
  </si>
  <si>
    <t xml:space="preserve">Est 10% cap; $62K/unit; deep value</t>
  </si>
  <si>
    <t xml:space="preserve">3917 Airport Hwy (Bryan)</t>
  </si>
  <si>
    <t xml:space="preserve">$48K/unit; 9.3% cap; $132K NOI; 92% occ</t>
  </si>
  <si>
    <t xml:space="preserve">$45K/unit; 42 units; downtown; low ID taxes</t>
  </si>
  <si>
    <t xml:space="preserve">$50K/unit; AL 0.38% tax; deepest value</t>
  </si>
  <si>
    <t xml:space="preserve">9.8% cap; $57K/unit; tight market</t>
  </si>
  <si>
    <t xml:space="preserve">23-Unit OZ, 35234</t>
  </si>
  <si>
    <t xml:space="preserve">7.7% cap; OZ tax benefit; renovated</t>
  </si>
  <si>
    <t xml:space="preserve">Full 2025 reno; Redstone anchor; 0.38% tax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</si>
</sst>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\$#,##0"/>
    <numFmt numFmtId="167" formatCode="0.00"/>
    <numFmt numFmtId="168" formatCode="0"/>
    <numFmt numFmtId="169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Arial"/>
      <family val="0"/>
      <charset val="1"/>
    </font>
    <font>
      <b val="true"/>
      <sz val="11"/>
      <color rgb="FFEC4D22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E69"/>
      <name val="Arial"/>
      <family val="0"/>
      <charset val="1"/>
    </font>
    <font>
      <b val="true"/>
      <sz val="10"/>
      <color rgb="FFEC4D2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B2A4A"/>
        <bgColor rgb="FF003366"/>
      </patternFill>
    </fill>
    <fill>
      <patternFill patternType="solid">
        <fgColor rgb="FFF5F5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C4D22"/>
      <rgbColor rgb="FF595E69"/>
      <rgbColor rgb="FF969696"/>
      <rgbColor rgb="FF003366"/>
      <rgbColor rgb="FF4CAF50"/>
      <rgbColor rgb="FF003300"/>
      <rgbColor rgb="FF333300"/>
      <rgbColor rgb="FF993300"/>
      <rgbColor rgb="FF993366"/>
      <rgbColor rgb="FF253C80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loopnet.com/Listing/1313-Butternut-St-Syracuse-NY/38472239/" TargetMode="External"/><Relationship Id="rId2" Type="http://schemas.openxmlformats.org/officeDocument/2006/relationships/hyperlink" Target="https://www.loopnet.com/Listing/1000-Bellevue-Ave-Syracuse-NY/38624831/" TargetMode="External"/><Relationship Id="rId3" Type="http://schemas.openxmlformats.org/officeDocument/2006/relationships/hyperlink" Target="https://www.loopnet.com/search/apartment-buildings/syracuse-ny/for-sale/" TargetMode="External"/><Relationship Id="rId4" Type="http://schemas.openxmlformats.org/officeDocument/2006/relationships/hyperlink" Target="https://www.loopnet.com/search/apartment-buildings/syracuse-ny/for-sale/" TargetMode="External"/><Relationship Id="rId5" Type="http://schemas.openxmlformats.org/officeDocument/2006/relationships/hyperlink" Target="https://www.loopnet.com/search/apartment-buildings/syracuse-ny/for-sale/" TargetMode="External"/><Relationship Id="rId6" Type="http://schemas.openxmlformats.org/officeDocument/2006/relationships/hyperlink" Target="https://www.loopnet.com/Listing/1819-Garden-Ridge-Dr-Toledo-OH/37884763/" TargetMode="External"/><Relationship Id="rId7" Type="http://schemas.openxmlformats.org/officeDocument/2006/relationships/hyperlink" Target="https://www.crexi.com/properties/2225353/ohio-bryan-manor--30-toledo-ohio" TargetMode="External"/><Relationship Id="rId8" Type="http://schemas.openxmlformats.org/officeDocument/2006/relationships/hyperlink" Target="https://www.loopnet.com/search/apartment-buildings/toledo-oh/for-sale/" TargetMode="External"/><Relationship Id="rId9" Type="http://schemas.openxmlformats.org/officeDocument/2006/relationships/hyperlink" Target="https://www.loopnet.com/search/apartment-buildings/toledo-oh/for-sale/" TargetMode="External"/><Relationship Id="rId10" Type="http://schemas.openxmlformats.org/officeDocument/2006/relationships/hyperlink" Target="https://www.loopnet.com/search/apartment-buildings/toledo-oh/for-sale/" TargetMode="External"/><Relationship Id="rId11" Type="http://schemas.openxmlformats.org/officeDocument/2006/relationships/hyperlink" Target="https://www.loopnet.com/Listing/200-Central-Ave-Dayton-OH/39428215/" TargetMode="External"/><Relationship Id="rId12" Type="http://schemas.openxmlformats.org/officeDocument/2006/relationships/hyperlink" Target="https://www.loopnet.com/Listing/2323-Newton-St-Akron-OH/36577313/" TargetMode="External"/><Relationship Id="rId13" Type="http://schemas.openxmlformats.org/officeDocument/2006/relationships/hyperlink" Target="https://www.commercialsearch.com/commercial-property/us/oh/akron/685-sherman-st/" TargetMode="External"/><Relationship Id="rId14" Type="http://schemas.openxmlformats.org/officeDocument/2006/relationships/hyperlink" Target="https://commercial.century21.com/property/2420-e-blaine-street-springfield-mo-65803-REN027773126" TargetMode="External"/><Relationship Id="rId15" Type="http://schemas.openxmlformats.org/officeDocument/2006/relationships/hyperlink" Target="https://www.loopnet.com/Listing/608-614-Walnut-St-Springfield-MO/39398442/" TargetMode="External"/><Relationship Id="rId16" Type="http://schemas.openxmlformats.org/officeDocument/2006/relationships/hyperlink" Target="https://www.loopnet.com/search/apartment-buildings/springfield-mo/for-sale/" TargetMode="External"/><Relationship Id="rId17" Type="http://schemas.openxmlformats.org/officeDocument/2006/relationships/hyperlink" Target="https://www.loopnet.com/Listing/645-E-Jolly-Rd-Lansing-MI/39147619/" TargetMode="External"/><Relationship Id="rId18" Type="http://schemas.openxmlformats.org/officeDocument/2006/relationships/hyperlink" Target="https://www.crexi.com/properties/MI/Lansing/Multifamily" TargetMode="External"/><Relationship Id="rId19" Type="http://schemas.openxmlformats.org/officeDocument/2006/relationships/hyperlink" Target="https://www.crexi.com/properties/MI/Lansing/Multifamily" TargetMode="External"/><Relationship Id="rId20" Type="http://schemas.openxmlformats.org/officeDocument/2006/relationships/hyperlink" Target="https://www.loopnet.com/Listing/500-516-Richardt-Ave-Evansville-IN/35831502/" TargetMode="External"/><Relationship Id="rId21" Type="http://schemas.openxmlformats.org/officeDocument/2006/relationships/hyperlink" Target="https://www.loopnet.com/Listing/1402-E-Saint-Johns-Ave-Austin-TX/39053615/" TargetMode="External"/><Relationship Id="rId22" Type="http://schemas.openxmlformats.org/officeDocument/2006/relationships/hyperlink" Target="https://www.loopnet.com/search/apartment-buildings/austin-tx/for-sale/" TargetMode="External"/><Relationship Id="rId23" Type="http://schemas.openxmlformats.org/officeDocument/2006/relationships/hyperlink" Target="https://www.loopnet.com/Listing/8905-Tronewood-Dr-Austin-TX/31947965/" TargetMode="External"/><Relationship Id="rId24" Type="http://schemas.openxmlformats.org/officeDocument/2006/relationships/hyperlink" Target="https://www.loopnet.com/search/apartment-buildings/austin-tx/for-sale/" TargetMode="External"/><Relationship Id="rId25" Type="http://schemas.openxmlformats.org/officeDocument/2006/relationships/hyperlink" Target="https://www.loopnet.com/Listing/1501-E-Southcross-Blvd-San-Antonio-TX/32637396/" TargetMode="External"/><Relationship Id="rId26" Type="http://schemas.openxmlformats.org/officeDocument/2006/relationships/hyperlink" Target="https://www.crexi.com/properties/1691652/texas-403-w-hollywood-ave" TargetMode="External"/><Relationship Id="rId27" Type="http://schemas.openxmlformats.org/officeDocument/2006/relationships/hyperlink" Target="https://www.crexi.com/properties/TX/San_Antonio/Apartment-Buildings" TargetMode="External"/><Relationship Id="rId28" Type="http://schemas.openxmlformats.org/officeDocument/2006/relationships/hyperlink" Target="https://www.crexi.com/properties/1691652/texas-403-w-hollywood-ave" TargetMode="External"/><Relationship Id="rId29" Type="http://schemas.openxmlformats.org/officeDocument/2006/relationships/hyperlink" Target="https://www.loopnet.com/Listing/31-S-McLean-Blvd-Memphis-TN/39664436/" TargetMode="External"/><Relationship Id="rId30" Type="http://schemas.openxmlformats.org/officeDocument/2006/relationships/hyperlink" Target="https://www.loopnet.com/Listing/2450-Ketchum-Memphis-TN/37189920/" TargetMode="External"/><Relationship Id="rId31" Type="http://schemas.openxmlformats.org/officeDocument/2006/relationships/hyperlink" Target="https://www.loopnet.com/Listing/3224-W-Madison-St-Phoenix-AZ/39133733/" TargetMode="External"/><Relationship Id="rId32" Type="http://schemas.openxmlformats.org/officeDocument/2006/relationships/hyperlink" Target="https://www.crexi.com/properties/AZ/Apartment-Buildings" TargetMode="External"/><Relationship Id="rId33" Type="http://schemas.openxmlformats.org/officeDocument/2006/relationships/hyperlink" Target="https://www.crexi.com/properties/AZ/Apartment-Buildings" TargetMode="External"/><Relationship Id="rId34" Type="http://schemas.openxmlformats.org/officeDocument/2006/relationships/hyperlink" Target="https://www.loopnet.com/search/apartment-buildings/chattanooga-tn/for-sale/" TargetMode="External"/><Relationship Id="rId35" Type="http://schemas.openxmlformats.org/officeDocument/2006/relationships/hyperlink" Target="https://www.loopnet.com/search/apartment-buildings/chattanooga-tn/for-sale/" TargetMode="External"/><Relationship Id="rId36" Type="http://schemas.openxmlformats.org/officeDocument/2006/relationships/hyperlink" Target="https://www.loopnet.com/search/apartment-buildings/chattanooga-tn/for-sale/" TargetMode="External"/><Relationship Id="rId37" Type="http://schemas.openxmlformats.org/officeDocument/2006/relationships/hyperlink" Target="https://www.loopnet.com/Listing/Riverside-12-Units/34730389/" TargetMode="External"/><Relationship Id="rId38" Type="http://schemas.openxmlformats.org/officeDocument/2006/relationships/hyperlink" Target="https://www.loopnet.com/Listing/914-14th-St-SW-Birmingham-AL/32960092/" TargetMode="External"/><Relationship Id="rId39" Type="http://schemas.openxmlformats.org/officeDocument/2006/relationships/hyperlink" Target="https://www.loopnet.com/search/apartment-buildings/birmingham-al/for-sale/" TargetMode="External"/><Relationship Id="rId40" Type="http://schemas.openxmlformats.org/officeDocument/2006/relationships/hyperlink" Target="https://www.loopnet.com/search/apartment-buildings/birmingham-al/for-sale/" TargetMode="External"/><Relationship Id="rId41" Type="http://schemas.openxmlformats.org/officeDocument/2006/relationships/hyperlink" Target="https://www.loopnet.com/search/apartment-buildings/birmingham-al/for-sale/" TargetMode="External"/><Relationship Id="rId42" Type="http://schemas.openxmlformats.org/officeDocument/2006/relationships/hyperlink" Target="https://www.loopnet.com/search/apartment-buildings/birmingham-al/for-sale/" TargetMode="External"/><Relationship Id="rId43" Type="http://schemas.openxmlformats.org/officeDocument/2006/relationships/hyperlink" Target="https://www.crexi.com/properties/AL/Birmingham/Apartment-Buildings" TargetMode="External"/><Relationship Id="rId44" Type="http://schemas.openxmlformats.org/officeDocument/2006/relationships/hyperlink" Target="https://www.loopnet.com/Listing/Faithland-Residential-Properties-10-LLC/33314812/" TargetMode="External"/><Relationship Id="rId45" Type="http://schemas.openxmlformats.org/officeDocument/2006/relationships/hyperlink" Target="https://www.priceedwards.com/apartments-for-sale-oklahoma" TargetMode="External"/><Relationship Id="rId46" Type="http://schemas.openxmlformats.org/officeDocument/2006/relationships/hyperlink" Target="https://www.loopnet.com/search/apartment-buildings/oklahoma-city-ok/for-sale/" TargetMode="External"/><Relationship Id="rId47" Type="http://schemas.openxmlformats.org/officeDocument/2006/relationships/hyperlink" Target="https://www.loopnet.com/Listing/2209-W-Idaho-St-Boise-ID/39321631/" TargetMode="External"/><Relationship Id="rId48" Type="http://schemas.openxmlformats.org/officeDocument/2006/relationships/hyperlink" Target="https://www.zillow.com/homedetails/4806-W-Richardson-St-Boise-ID-83705/79626268_zpid/" TargetMode="External"/><Relationship Id="rId49" Type="http://schemas.openxmlformats.org/officeDocument/2006/relationships/hyperlink" Target="https://www.loopnet.com/search/apartment-buildings/boise-id/for-sale/" TargetMode="External"/><Relationship Id="rId50" Type="http://schemas.openxmlformats.org/officeDocument/2006/relationships/hyperlink" Target="https://www.loopnet.com/Listing/600-Central-Ave-Cheyenne-WY/31391894/" TargetMode="External"/><Relationship Id="rId51" Type="http://schemas.openxmlformats.org/officeDocument/2006/relationships/hyperlink" Target="https://www.loopnet.com/Listing/1101-E-Clark-Ave-Las-Vegas-NV/39664522/" TargetMode="External"/><Relationship Id="rId52" Type="http://schemas.openxmlformats.org/officeDocument/2006/relationships/hyperlink" Target="https://www.loopnet.com/Listing/317-S-9th-St-Las-Vegas-NV/39404384/" TargetMode="External"/><Relationship Id="rId53" Type="http://schemas.openxmlformats.org/officeDocument/2006/relationships/hyperlink" Target="https://www.loopnet.com/search/apartment-buildings/las-vegas-nv/for-sale/" TargetMode="External"/><Relationship Id="rId54" Type="http://schemas.openxmlformats.org/officeDocument/2006/relationships/hyperlink" Target="https://www.loopnet.com/search/apartment-buildings/las-vegas-nv/for-sale/" TargetMode="External"/><Relationship Id="rId55" Type="http://schemas.openxmlformats.org/officeDocument/2006/relationships/hyperlink" Target="https://www.loopnet.com/search/apartment-buildings/las-vegas-nv/for-sale/" TargetMode="External"/><Relationship Id="rId56" Type="http://schemas.openxmlformats.org/officeDocument/2006/relationships/hyperlink" Target="https://www.loopnet.com/search/apartment-buildings/las-vegas-nv/for-sale/" TargetMode="External"/><Relationship Id="rId57" Type="http://schemas.openxmlformats.org/officeDocument/2006/relationships/hyperlink" Target="https://www.loopnet.com/search/apartment-buildings/las-vegas-nv/for-sale/" TargetMode="External"/><Relationship Id="rId58" Type="http://schemas.openxmlformats.org/officeDocument/2006/relationships/hyperlink" Target="https://www.loopnet.com/search/apartment-buildings/las-vegas-nv/for-sale/" TargetMode="External"/><Relationship Id="rId59" Type="http://schemas.openxmlformats.org/officeDocument/2006/relationships/hyperlink" Target="https://www.loopnet.com/search/apartment-buildings/las-vegas-nv/for-sale/" TargetMode="External"/><Relationship Id="rId60" Type="http://schemas.openxmlformats.org/officeDocument/2006/relationships/hyperlink" Target="https://www.loopnet.com/search/apartment-buildings/las-vegas-nv/for-sale/" TargetMode="External"/><Relationship Id="rId61" Type="http://schemas.openxmlformats.org/officeDocument/2006/relationships/hyperlink" Target="https://www.loopnet.com/Listing/3004-Clopton-St-Huntsville-AL/38620384/" TargetMode="External"/><Relationship Id="rId62" Type="http://schemas.openxmlformats.org/officeDocument/2006/relationships/hyperlink" Target="https://www.loopnet.com/search/apartment-buildings/huntsville-al/for-sale/" TargetMode="External"/><Relationship Id="rId63" Type="http://schemas.openxmlformats.org/officeDocument/2006/relationships/hyperlink" Target="https://www.loopnet.com/Listing/1133-Buena-Vista-Ave-Reno-NV/38760090/" TargetMode="External"/><Relationship Id="rId64" Type="http://schemas.openxmlformats.org/officeDocument/2006/relationships/hyperlink" Target="https://www.loopnet.com/search/apartment-buildings/reno-nv/for-sale/" TargetMode="External"/><Relationship Id="rId65" Type="http://schemas.openxmlformats.org/officeDocument/2006/relationships/hyperlink" Target="https://www.loopnet.com/search/apartment-buildings/reno-nv/for-sale/" TargetMode="External"/><Relationship Id="rId66" Type="http://schemas.openxmlformats.org/officeDocument/2006/relationships/hyperlink" Target="https://www.loopnet.com/search/apartment-buildings/reno-nv/for-sale/" TargetMode="External"/><Relationship Id="rId67" Type="http://schemas.openxmlformats.org/officeDocument/2006/relationships/hyperlink" Target="https://www.loopnet.com/Listing/747-Willow-St-Reno-NV/33951223/" TargetMode="External"/><Relationship Id="rId68" Type="http://schemas.openxmlformats.org/officeDocument/2006/relationships/hyperlink" Target="https://www.loopnet.com/search/apartment-buildings/reno-nv/for-sale/" TargetMode="External"/><Relationship Id="rId69" Type="http://schemas.openxmlformats.org/officeDocument/2006/relationships/hyperlink" Target="https://www.loopnet.com/Listing/310-E-Center-St-Pocatello-ID/36924929/" TargetMode="External"/><Relationship Id="rId70" Type="http://schemas.openxmlformats.org/officeDocument/2006/relationships/hyperlink" Target="https://www.loopnet.com/Listing/856-E-Carter-St-Pocatello-ID/35929989/" TargetMode="External"/><Relationship Id="rId71" Type="http://schemas.openxmlformats.org/officeDocument/2006/relationships/hyperlink" Target="https://www.loopnet.com/search/apartment-buildings/pocatello-id/for-sale/" TargetMode="External"/><Relationship Id="rId72" Type="http://schemas.openxmlformats.org/officeDocument/2006/relationships/hyperlink" Target="https://www.colliers.com/en/properties/maple-grove-condominium-apartments-multifamily/usa-357-blue-lakes-blvd-n-twin-falls-id-83301-usa/usa1147190" TargetMode="External"/><Relationship Id="rId73" Type="http://schemas.openxmlformats.org/officeDocument/2006/relationships/hyperlink" Target="https://www.loopnet.com/search/apartment-buildings/twin-falls-id/for-sale/" TargetMode="External"/><Relationship Id="rId74" Type="http://schemas.openxmlformats.org/officeDocument/2006/relationships/hyperlink" Target="https://www.redfin.com/AR/Fayetteville/523-S-Dockery-Ln-72701/home/126423735" TargetMode="External"/><Relationship Id="rId75" Type="http://schemas.openxmlformats.org/officeDocument/2006/relationships/hyperlink" Target="https://www.loopnet.com/Listing/6321-E-9th-St-Tulsa-OK/32185152/" TargetMode="External"/><Relationship Id="rId76" Type="http://schemas.openxmlformats.org/officeDocument/2006/relationships/hyperlink" Target="https://www.crexi.com/properties/1825478/oklahoma-darlington-apartments" TargetMode="External"/><Relationship Id="rId77" Type="http://schemas.openxmlformats.org/officeDocument/2006/relationships/hyperlink" Target="https://www.loopnet.com/search/apartment-buildings/tulsa-ok/for-sale/" TargetMode="External"/><Relationship Id="rId78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loopnet.com/Listing/1313-Butternut-St-Syracuse-NY/38472239/" TargetMode="External"/><Relationship Id="rId2" Type="http://schemas.openxmlformats.org/officeDocument/2006/relationships/hyperlink" Target="https://www.crexi.com/properties/2225353/ohio-bryan-manor--30-toledo-ohio" TargetMode="External"/><Relationship Id="rId3" Type="http://schemas.openxmlformats.org/officeDocument/2006/relationships/hyperlink" Target="https://www.loopnet.com/Listing/200-Central-Ave-Dayton-OH/39428215/" TargetMode="External"/><Relationship Id="rId4" Type="http://schemas.openxmlformats.org/officeDocument/2006/relationships/hyperlink" Target="https://www.loopnet.com/Listing/2323-Newton-St-Akron-OH/36577313/" TargetMode="External"/><Relationship Id="rId5" Type="http://schemas.openxmlformats.org/officeDocument/2006/relationships/hyperlink" Target="https://www.loopnet.com/Listing/608-614-Walnut-St-Springfield-MO/39398442/" TargetMode="External"/><Relationship Id="rId6" Type="http://schemas.openxmlformats.org/officeDocument/2006/relationships/hyperlink" Target="https://www.crexi.com/properties/MI/Lansing/Multifamily" TargetMode="External"/><Relationship Id="rId7" Type="http://schemas.openxmlformats.org/officeDocument/2006/relationships/hyperlink" Target="https://www.loopnet.com/Listing/500-516-Richardt-Ave-Evansville-IN/35831502/" TargetMode="External"/><Relationship Id="rId8" Type="http://schemas.openxmlformats.org/officeDocument/2006/relationships/hyperlink" Target="https://www.loopnet.com/Listing/1402-E-Saint-Johns-Ave-Austin-TX/39053615/" TargetMode="External"/><Relationship Id="rId9" Type="http://schemas.openxmlformats.org/officeDocument/2006/relationships/hyperlink" Target="https://www.crexi.com/properties/TX/San_Antonio/Apartment-Buildings" TargetMode="External"/><Relationship Id="rId10" Type="http://schemas.openxmlformats.org/officeDocument/2006/relationships/hyperlink" Target="https://www.loopnet.com/Listing/31-S-McLean-Blvd-Memphis-TN/39664436/" TargetMode="External"/><Relationship Id="rId11" Type="http://schemas.openxmlformats.org/officeDocument/2006/relationships/hyperlink" Target="https://www.crexi.com/properties/AZ/Apartment-Buildings" TargetMode="External"/><Relationship Id="rId12" Type="http://schemas.openxmlformats.org/officeDocument/2006/relationships/hyperlink" Target="https://www.loopnet.com/search/apartment-buildings/chattanooga-tn/for-sale/" TargetMode="External"/><Relationship Id="rId13" Type="http://schemas.openxmlformats.org/officeDocument/2006/relationships/hyperlink" Target="https://www.loopnet.com/Listing/Riverside-12-Units/34730389/" TargetMode="External"/><Relationship Id="rId14" Type="http://schemas.openxmlformats.org/officeDocument/2006/relationships/hyperlink" Target="https://www.crexi.com/properties/AL/Birmingham/Apartment-Buildings" TargetMode="External"/><Relationship Id="rId15" Type="http://schemas.openxmlformats.org/officeDocument/2006/relationships/hyperlink" Target="https://www.loopnet.com/Listing/Faithland-Residential-Properties-10-LLC/33314812/" TargetMode="External"/><Relationship Id="rId16" Type="http://schemas.openxmlformats.org/officeDocument/2006/relationships/hyperlink" Target="https://www.priceedwards.com/apartments-for-sale-oklahoma" TargetMode="External"/><Relationship Id="rId17" Type="http://schemas.openxmlformats.org/officeDocument/2006/relationships/hyperlink" Target="https://www.loopnet.com/Listing/2209-W-Idaho-St-Boise-ID/39321631/" TargetMode="External"/><Relationship Id="rId18" Type="http://schemas.openxmlformats.org/officeDocument/2006/relationships/hyperlink" Target="https://www.loopnet.com/Listing/600-Central-Ave-Cheyenne-WY/31391894/" TargetMode="External"/><Relationship Id="rId19" Type="http://schemas.openxmlformats.org/officeDocument/2006/relationships/hyperlink" Target="https://www.loopnet.com/search/apartment-buildings/las-vegas-nv/for-sale/" TargetMode="External"/><Relationship Id="rId20" Type="http://schemas.openxmlformats.org/officeDocument/2006/relationships/hyperlink" Target="https://www.loopnet.com/Listing/3004-Clopton-St-Huntsville-AL/38620384/" TargetMode="External"/><Relationship Id="rId21" Type="http://schemas.openxmlformats.org/officeDocument/2006/relationships/hyperlink" Target="https://www.loopnet.com/Listing/1133-Buena-Vista-Ave-Reno-NV/38760090/" TargetMode="External"/><Relationship Id="rId22" Type="http://schemas.openxmlformats.org/officeDocument/2006/relationships/hyperlink" Target="https://www.loopnet.com/Listing/310-E-Center-St-Pocatello-ID/36924929/" TargetMode="External"/><Relationship Id="rId23" Type="http://schemas.openxmlformats.org/officeDocument/2006/relationships/hyperlink" Target="https://www.loopnet.com/search/apartment-buildings/twin-falls-id/for-sale/" TargetMode="External"/><Relationship Id="rId24" Type="http://schemas.openxmlformats.org/officeDocument/2006/relationships/hyperlink" Target="https://www.redfin.com/AR/Fayetteville/523-S-Dockery-Ln-72701/home/126423735" TargetMode="External"/><Relationship Id="rId25" Type="http://schemas.openxmlformats.org/officeDocument/2006/relationships/hyperlink" Target="https://www.loopnet.com/Listing/6321-E-9th-St-Tulsa-OK/32185152/" TargetMode="External"/><Relationship Id="rId26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3C80"/>
    <pageSetUpPr fitToPage="false"/>
  </sheetPr>
  <dimension ref="A1:S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6" topLeftCell="F7" activePane="bottomRight" state="frozen"/>
      <selection pane="topLeft" activeCell="A1" activeCellId="0" sqref="A1"/>
      <selection pane="topRight" activeCell="F1" activeCellId="0" sqref="F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"/>
    <col collapsed="false" customWidth="true" hidden="false" outlineLevel="0" max="3" min="3" style="0" width="14"/>
    <col collapsed="false" customWidth="true" hidden="false" outlineLevel="0" max="4" min="4" style="0" width="4"/>
    <col collapsed="false" customWidth="true" hidden="false" outlineLevel="0" max="5" min="5" style="0" width="32"/>
    <col collapsed="false" customWidth="true" hidden="false" outlineLevel="0" max="6" min="6" style="0" width="12"/>
    <col collapsed="false" customWidth="true" hidden="false" outlineLevel="0" max="7" min="7" style="0" width="6"/>
    <col collapsed="false" customWidth="true" hidden="false" outlineLevel="0" max="8" min="8" style="0" width="10"/>
    <col collapsed="false" customWidth="true" hidden="false" outlineLevel="0" max="10" min="9" style="0" width="8"/>
    <col collapsed="false" customWidth="true" hidden="false" outlineLevel="0" max="11" min="11" style="0" width="6"/>
    <col collapsed="false" customWidth="true" hidden="false" outlineLevel="0" max="12" min="12" style="0" width="40"/>
    <col collapsed="false" customWidth="true" hidden="false" outlineLevel="0" max="13" min="13" style="0" width="8"/>
    <col collapsed="false" customWidth="true" hidden="false" outlineLevel="0" max="17" min="14" style="0" width="7"/>
    <col collapsed="false" customWidth="true" hidden="false" outlineLevel="0" max="18" min="18" style="0" width="8"/>
    <col collapsed="false" customWidth="true" hidden="false" outlineLevel="0" max="19" min="19" style="0" width="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n">
        <v>0.3</v>
      </c>
      <c r="C4" s="3" t="s">
        <v>3</v>
      </c>
      <c r="D4" s="4" t="n">
        <v>0.3</v>
      </c>
      <c r="E4" s="3" t="s">
        <v>4</v>
      </c>
      <c r="F4" s="4" t="n">
        <v>0.2</v>
      </c>
      <c r="G4" s="3" t="s">
        <v>5</v>
      </c>
      <c r="H4" s="4" t="n">
        <v>0.2</v>
      </c>
    </row>
    <row r="6" customFormat="false" ht="68.65" hidden="false" customHeight="false" outlineLevel="0" collapsed="false">
      <c r="A6" s="5" t="s">
        <v>6</v>
      </c>
      <c r="B6" s="5" t="s">
        <v>7</v>
      </c>
      <c r="C6" s="5" t="s">
        <v>8</v>
      </c>
      <c r="D6" s="5" t="s">
        <v>9</v>
      </c>
      <c r="E6" s="5" t="s">
        <v>10</v>
      </c>
      <c r="F6" s="5" t="s">
        <v>11</v>
      </c>
      <c r="G6" s="5" t="s">
        <v>12</v>
      </c>
      <c r="H6" s="5" t="s">
        <v>13</v>
      </c>
      <c r="I6" s="5" t="s">
        <v>14</v>
      </c>
      <c r="J6" s="5" t="s">
        <v>15</v>
      </c>
      <c r="K6" s="5" t="s">
        <v>16</v>
      </c>
      <c r="L6" s="5" t="s">
        <v>17</v>
      </c>
      <c r="M6" s="5" t="s">
        <v>18</v>
      </c>
      <c r="N6" s="5" t="s">
        <v>19</v>
      </c>
      <c r="O6" s="5" t="s">
        <v>20</v>
      </c>
      <c r="P6" s="5" t="s">
        <v>21</v>
      </c>
      <c r="Q6" s="5" t="s">
        <v>22</v>
      </c>
      <c r="R6" s="5" t="s">
        <v>23</v>
      </c>
      <c r="S6" s="5" t="s">
        <v>24</v>
      </c>
    </row>
    <row r="7" customFormat="false" ht="15" hidden="false" customHeight="false" outlineLevel="0" collapsed="false">
      <c r="A7" s="6" t="n">
        <v>1</v>
      </c>
      <c r="B7" s="6" t="s">
        <v>25</v>
      </c>
      <c r="C7" s="6" t="s">
        <v>26</v>
      </c>
      <c r="D7" s="7" t="s">
        <v>27</v>
      </c>
      <c r="E7" s="7" t="s">
        <v>28</v>
      </c>
      <c r="F7" s="8" t="n">
        <v>1825000</v>
      </c>
      <c r="G7" s="7" t="n">
        <v>36</v>
      </c>
      <c r="H7" s="8" t="n">
        <v>50694</v>
      </c>
      <c r="I7" s="9"/>
      <c r="J7" s="7" t="n">
        <v>1965</v>
      </c>
      <c r="K7" s="10" t="n">
        <v>100</v>
      </c>
      <c r="L7" s="7" t="s">
        <v>29</v>
      </c>
      <c r="M7" s="11" t="s">
        <v>30</v>
      </c>
      <c r="N7" s="12" t="n">
        <f aca="false">IF(H7="",0,(MAX(H$7:H$83)-H7)/(MAX(H$7:H$83)-MIN(H$7:H$83))*10)</f>
        <v>9.88535578164042</v>
      </c>
      <c r="O7" s="12" t="n">
        <f aca="false">IF(I7="",0,(I7-MIN(I$7:I$83))/(MAX(I$7:I$83)-MIN(I$7:I$83))*10)</f>
        <v>0</v>
      </c>
      <c r="P7" s="12" t="n">
        <f aca="false">IF(K7="",5,(K7-MIN(K$7:K$83))/(MAX(K$7:K$83)-MIN(K$7:K$83))*10)</f>
        <v>10</v>
      </c>
      <c r="Q7" s="12" t="n">
        <f aca="false">IF(G7="",0,(G7-MIN(G$7:G$83))/(MAX(G$7:G$83)-MIN(G$7:G$83))*10)</f>
        <v>6.52173913043478</v>
      </c>
      <c r="R7" s="9" t="n">
        <f aca="false">N7*B$4+O7*D$4+P7*F$4+Q7*H$4</f>
        <v>6.26995456057908</v>
      </c>
      <c r="S7" s="7" t="n">
        <f aca="false">RANK(R7,R$7:R$83,0)</f>
        <v>20</v>
      </c>
    </row>
    <row r="8" customFormat="false" ht="15" hidden="false" customHeight="false" outlineLevel="0" collapsed="false">
      <c r="A8" s="13" t="n">
        <v>2</v>
      </c>
      <c r="B8" s="13" t="s">
        <v>25</v>
      </c>
      <c r="C8" s="13" t="s">
        <v>26</v>
      </c>
      <c r="D8" s="14" t="s">
        <v>27</v>
      </c>
      <c r="E8" s="14" t="s">
        <v>31</v>
      </c>
      <c r="F8" s="15" t="n">
        <v>2150000</v>
      </c>
      <c r="G8" s="14" t="n">
        <v>18</v>
      </c>
      <c r="H8" s="15" t="n">
        <v>119444</v>
      </c>
      <c r="I8" s="16" t="n">
        <v>8.13</v>
      </c>
      <c r="J8" s="14"/>
      <c r="K8" s="17"/>
      <c r="L8" s="14" t="s">
        <v>32</v>
      </c>
      <c r="M8" s="18" t="s">
        <v>30</v>
      </c>
      <c r="N8" s="19" t="n">
        <f aca="false">IF(H8="",0,(MAX(H$7:H$83)-H8)/(MAX(H$7:H$83)-MIN(H$7:H$83))*10)</f>
        <v>8.50112852273254</v>
      </c>
      <c r="O8" s="19" t="n">
        <f aca="false">IF(I8="",0,(I8-MIN(I$7:I$83))/(MAX(I$7:I$83)-MIN(I$7:I$83))*10)</f>
        <v>6.74216027874565</v>
      </c>
      <c r="P8" s="19" t="n">
        <f aca="false">IF(K8="",5,(K8-MIN(K$7:K$83))/(MAX(K$7:K$83)-MIN(K$7:K$83))*10)</f>
        <v>5</v>
      </c>
      <c r="Q8" s="19" t="n">
        <f aca="false">IF(G8="",0,(G8-MIN(G$7:G$83))/(MAX(G$7:G$83)-MIN(G$7:G$83))*10)</f>
        <v>2.60869565217391</v>
      </c>
      <c r="R8" s="16" t="n">
        <f aca="false">N8*B$4+O8*D$4+P8*F$4+Q8*H$4</f>
        <v>6.09472577087824</v>
      </c>
      <c r="S8" s="14" t="n">
        <f aca="false">RANK(R8,R$7:R$83,0)</f>
        <v>24</v>
      </c>
    </row>
    <row r="9" customFormat="false" ht="15" hidden="false" customHeight="false" outlineLevel="0" collapsed="false">
      <c r="A9" s="6" t="n">
        <v>3</v>
      </c>
      <c r="B9" s="6" t="s">
        <v>25</v>
      </c>
      <c r="C9" s="6" t="s">
        <v>26</v>
      </c>
      <c r="D9" s="7" t="s">
        <v>27</v>
      </c>
      <c r="E9" s="7" t="s">
        <v>33</v>
      </c>
      <c r="F9" s="8" t="n">
        <v>1500000</v>
      </c>
      <c r="G9" s="7" t="n">
        <v>20</v>
      </c>
      <c r="H9" s="8" t="n">
        <v>75000</v>
      </c>
      <c r="I9" s="9"/>
      <c r="J9" s="7"/>
      <c r="K9" s="10"/>
      <c r="L9" s="7" t="s">
        <v>34</v>
      </c>
      <c r="M9" s="11" t="s">
        <v>30</v>
      </c>
      <c r="N9" s="12" t="n">
        <f aca="false">IF(H9="",0,(MAX(H$7:H$83)-H9)/(MAX(H$7:H$83)-MIN(H$7:H$83))*10)</f>
        <v>9.39597355974929</v>
      </c>
      <c r="O9" s="12" t="n">
        <f aca="false">IF(I9="",0,(I9-MIN(I$7:I$83))/(MAX(I$7:I$83)-MIN(I$7:I$83))*10)</f>
        <v>0</v>
      </c>
      <c r="P9" s="12" t="n">
        <f aca="false">IF(K9="",5,(K9-MIN(K$7:K$83))/(MAX(K$7:K$83)-MIN(K$7:K$83))*10)</f>
        <v>5</v>
      </c>
      <c r="Q9" s="12" t="n">
        <f aca="false">IF(G9="",0,(G9-MIN(G$7:G$83))/(MAX(G$7:G$83)-MIN(G$7:G$83))*10)</f>
        <v>3.04347826086957</v>
      </c>
      <c r="R9" s="9" t="n">
        <f aca="false">N9*B$4+O9*D$4+P9*F$4+Q9*H$4</f>
        <v>4.4274877200987</v>
      </c>
      <c r="S9" s="7" t="n">
        <f aca="false">RANK(R9,R$7:R$83,0)</f>
        <v>40</v>
      </c>
    </row>
    <row r="10" customFormat="false" ht="15" hidden="false" customHeight="false" outlineLevel="0" collapsed="false">
      <c r="A10" s="13" t="n">
        <v>4</v>
      </c>
      <c r="B10" s="13" t="s">
        <v>25</v>
      </c>
      <c r="C10" s="13" t="s">
        <v>26</v>
      </c>
      <c r="D10" s="14" t="s">
        <v>27</v>
      </c>
      <c r="E10" s="14" t="s">
        <v>35</v>
      </c>
      <c r="F10" s="15" t="n">
        <v>1595000</v>
      </c>
      <c r="G10" s="14" t="n">
        <v>12</v>
      </c>
      <c r="H10" s="15" t="n">
        <v>132917</v>
      </c>
      <c r="I10" s="16"/>
      <c r="J10" s="14"/>
      <c r="K10" s="17"/>
      <c r="L10" s="14" t="s">
        <v>36</v>
      </c>
      <c r="M10" s="18" t="s">
        <v>30</v>
      </c>
      <c r="N10" s="19" t="n">
        <f aca="false">IF(H10="",0,(MAX(H$7:H$83)-H10)/(MAX(H$7:H$83)-MIN(H$7:H$83))*10)</f>
        <v>8.22986024841594</v>
      </c>
      <c r="O10" s="19" t="n">
        <f aca="false">IF(I10="",0,(I10-MIN(I$7:I$83))/(MAX(I$7:I$83)-MIN(I$7:I$83))*10)</f>
        <v>0</v>
      </c>
      <c r="P10" s="19" t="n">
        <f aca="false">IF(K10="",5,(K10-MIN(K$7:K$83))/(MAX(K$7:K$83)-MIN(K$7:K$83))*10)</f>
        <v>5</v>
      </c>
      <c r="Q10" s="19" t="n">
        <f aca="false">IF(G10="",0,(G10-MIN(G$7:G$83))/(MAX(G$7:G$83)-MIN(G$7:G$83))*10)</f>
        <v>1.30434782608696</v>
      </c>
      <c r="R10" s="16" t="n">
        <f aca="false">N10*B$4+O10*D$4+P10*F$4+Q10*H$4</f>
        <v>3.72982763974217</v>
      </c>
      <c r="S10" s="14" t="n">
        <f aca="false">RANK(R10,R$7:R$83,0)</f>
        <v>57</v>
      </c>
    </row>
    <row r="11" customFormat="false" ht="15" hidden="false" customHeight="false" outlineLevel="0" collapsed="false">
      <c r="A11" s="6" t="n">
        <v>5</v>
      </c>
      <c r="B11" s="6" t="s">
        <v>25</v>
      </c>
      <c r="C11" s="6" t="s">
        <v>26</v>
      </c>
      <c r="D11" s="7" t="s">
        <v>27</v>
      </c>
      <c r="E11" s="7" t="s">
        <v>37</v>
      </c>
      <c r="F11" s="8" t="n">
        <v>1595000</v>
      </c>
      <c r="G11" s="7" t="n">
        <v>6</v>
      </c>
      <c r="H11" s="8" t="n">
        <v>265833</v>
      </c>
      <c r="I11" s="9"/>
      <c r="J11" s="7"/>
      <c r="K11" s="10"/>
      <c r="L11" s="7" t="s">
        <v>38</v>
      </c>
      <c r="M11" s="11" t="s">
        <v>30</v>
      </c>
      <c r="N11" s="12" t="n">
        <f aca="false">IF(H11="",0,(MAX(H$7:H$83)-H11)/(MAX(H$7:H$83)-MIN(H$7:H$83))*10)</f>
        <v>5.55370097067049</v>
      </c>
      <c r="O11" s="12" t="n">
        <f aca="false">IF(I11="",0,(I11-MIN(I$7:I$83))/(MAX(I$7:I$83)-MIN(I$7:I$83))*10)</f>
        <v>0</v>
      </c>
      <c r="P11" s="12" t="n">
        <f aca="false">IF(K11="",5,(K11-MIN(K$7:K$83))/(MAX(K$7:K$83)-MIN(K$7:K$83))*10)</f>
        <v>5</v>
      </c>
      <c r="Q11" s="12" t="n">
        <f aca="false">IF(G11="",0,(G11-MIN(G$7:G$83))/(MAX(G$7:G$83)-MIN(G$7:G$83))*10)</f>
        <v>0</v>
      </c>
      <c r="R11" s="9" t="n">
        <f aca="false">N11*B$4+O11*D$4+P11*F$4+Q11*H$4</f>
        <v>2.66611029120115</v>
      </c>
      <c r="S11" s="7" t="n">
        <f aca="false">RANK(R11,R$7:R$83,0)</f>
        <v>73</v>
      </c>
    </row>
    <row r="12" customFormat="false" ht="15" hidden="false" customHeight="false" outlineLevel="0" collapsed="false">
      <c r="A12" s="13" t="n">
        <v>6</v>
      </c>
      <c r="B12" s="13" t="s">
        <v>25</v>
      </c>
      <c r="C12" s="13" t="s">
        <v>39</v>
      </c>
      <c r="D12" s="14" t="s">
        <v>40</v>
      </c>
      <c r="E12" s="14" t="s">
        <v>41</v>
      </c>
      <c r="F12" s="15" t="n">
        <v>1875000</v>
      </c>
      <c r="G12" s="14" t="n">
        <v>32</v>
      </c>
      <c r="H12" s="15" t="n">
        <v>58594</v>
      </c>
      <c r="I12" s="16" t="n">
        <v>9.54</v>
      </c>
      <c r="J12" s="14" t="n">
        <v>1963</v>
      </c>
      <c r="K12" s="17"/>
      <c r="L12" s="14" t="s">
        <v>42</v>
      </c>
      <c r="M12" s="18" t="s">
        <v>30</v>
      </c>
      <c r="N12" s="19" t="n">
        <f aca="false">IF(H12="",0,(MAX(H$7:H$83)-H12)/(MAX(H$7:H$83)-MIN(H$7:H$83))*10)</f>
        <v>9.72629548570773</v>
      </c>
      <c r="O12" s="19" t="n">
        <f aca="false">IF(I12="",0,(I12-MIN(I$7:I$83))/(MAX(I$7:I$83)-MIN(I$7:I$83))*10)</f>
        <v>9.198606271777</v>
      </c>
      <c r="P12" s="19" t="n">
        <f aca="false">IF(K12="",5,(K12-MIN(K$7:K$83))/(MAX(K$7:K$83)-MIN(K$7:K$83))*10)</f>
        <v>5</v>
      </c>
      <c r="Q12" s="19" t="n">
        <f aca="false">IF(G12="",0,(G12-MIN(G$7:G$83))/(MAX(G$7:G$83)-MIN(G$7:G$83))*10)</f>
        <v>5.65217391304348</v>
      </c>
      <c r="R12" s="16" t="n">
        <f aca="false">N12*B$4+O12*D$4+P12*F$4+Q12*H$4</f>
        <v>7.80790530985411</v>
      </c>
      <c r="S12" s="14" t="n">
        <f aca="false">RANK(R12,R$7:R$83,0)</f>
        <v>4</v>
      </c>
    </row>
    <row r="13" customFormat="false" ht="23.85" hidden="false" customHeight="false" outlineLevel="0" collapsed="false">
      <c r="A13" s="6" t="n">
        <v>7</v>
      </c>
      <c r="B13" s="6" t="s">
        <v>25</v>
      </c>
      <c r="C13" s="6" t="s">
        <v>39</v>
      </c>
      <c r="D13" s="7" t="s">
        <v>40</v>
      </c>
      <c r="E13" s="7" t="s">
        <v>43</v>
      </c>
      <c r="F13" s="8" t="n">
        <v>1425000</v>
      </c>
      <c r="G13" s="7" t="n">
        <v>30</v>
      </c>
      <c r="H13" s="8" t="n">
        <v>47500</v>
      </c>
      <c r="I13" s="9" t="n">
        <v>9.27</v>
      </c>
      <c r="J13" s="7"/>
      <c r="K13" s="10" t="n">
        <v>92</v>
      </c>
      <c r="L13" s="7" t="s">
        <v>44</v>
      </c>
      <c r="M13" s="11" t="s">
        <v>30</v>
      </c>
      <c r="N13" s="12" t="n">
        <f aca="false">IF(H13="",0,(MAX(H$7:H$83)-H13)/(MAX(H$7:H$83)-MIN(H$7:H$83))*10)</f>
        <v>9.94966446331244</v>
      </c>
      <c r="O13" s="12" t="n">
        <f aca="false">IF(I13="",0,(I13-MIN(I$7:I$83))/(MAX(I$7:I$83)-MIN(I$7:I$83))*10)</f>
        <v>8.72822299651568</v>
      </c>
      <c r="P13" s="12" t="n">
        <f aca="false">IF(K13="",5,(K13-MIN(K$7:K$83))/(MAX(K$7:K$83)-MIN(K$7:K$83))*10)</f>
        <v>5.29411764705882</v>
      </c>
      <c r="Q13" s="12" t="n">
        <f aca="false">IF(G13="",0,(G13-MIN(G$7:G$83))/(MAX(G$7:G$83)-MIN(G$7:G$83))*10)</f>
        <v>5.21739130434783</v>
      </c>
      <c r="R13" s="9" t="n">
        <f aca="false">N13*B$4+O13*D$4+P13*F$4+Q13*H$4</f>
        <v>7.70566802822977</v>
      </c>
      <c r="S13" s="7" t="n">
        <f aca="false">RANK(R13,R$7:R$83,0)</f>
        <v>5</v>
      </c>
    </row>
    <row r="14" customFormat="false" ht="15" hidden="false" customHeight="false" outlineLevel="0" collapsed="false">
      <c r="A14" s="13" t="n">
        <v>8</v>
      </c>
      <c r="B14" s="13" t="s">
        <v>25</v>
      </c>
      <c r="C14" s="13" t="s">
        <v>39</v>
      </c>
      <c r="D14" s="14" t="s">
        <v>40</v>
      </c>
      <c r="E14" s="14" t="s">
        <v>45</v>
      </c>
      <c r="F14" s="15" t="n">
        <v>1284000</v>
      </c>
      <c r="G14" s="14" t="n">
        <v>24</v>
      </c>
      <c r="H14" s="15" t="n">
        <v>53500</v>
      </c>
      <c r="I14" s="16" t="n">
        <v>7.42</v>
      </c>
      <c r="J14" s="14"/>
      <c r="K14" s="17"/>
      <c r="L14" s="14" t="s">
        <v>46</v>
      </c>
      <c r="M14" s="18" t="s">
        <v>30</v>
      </c>
      <c r="N14" s="19" t="n">
        <f aca="false">IF(H14="",0,(MAX(H$7:H$83)-H14)/(MAX(H$7:H$83)-MIN(H$7:H$83))*10)</f>
        <v>9.8288591752623</v>
      </c>
      <c r="O14" s="19" t="n">
        <f aca="false">IF(I14="",0,(I14-MIN(I$7:I$83))/(MAX(I$7:I$83)-MIN(I$7:I$83))*10)</f>
        <v>5.50522648083624</v>
      </c>
      <c r="P14" s="19" t="n">
        <f aca="false">IF(K14="",5,(K14-MIN(K$7:K$83))/(MAX(K$7:K$83)-MIN(K$7:K$83))*10)</f>
        <v>5</v>
      </c>
      <c r="Q14" s="19" t="n">
        <f aca="false">IF(G14="",0,(G14-MIN(G$7:G$83))/(MAX(G$7:G$83)-MIN(G$7:G$83))*10)</f>
        <v>3.91304347826087</v>
      </c>
      <c r="R14" s="16" t="n">
        <f aca="false">N14*B$4+O14*D$4+P14*F$4+Q14*H$4</f>
        <v>6.38283439248173</v>
      </c>
      <c r="S14" s="14" t="n">
        <f aca="false">RANK(R14,R$7:R$83,0)</f>
        <v>19</v>
      </c>
    </row>
    <row r="15" customFormat="false" ht="15" hidden="false" customHeight="false" outlineLevel="0" collapsed="false">
      <c r="A15" s="6" t="n">
        <v>9</v>
      </c>
      <c r="B15" s="6" t="s">
        <v>25</v>
      </c>
      <c r="C15" s="6" t="s">
        <v>39</v>
      </c>
      <c r="D15" s="7" t="s">
        <v>40</v>
      </c>
      <c r="E15" s="7" t="s">
        <v>47</v>
      </c>
      <c r="F15" s="8" t="n">
        <v>1190000</v>
      </c>
      <c r="G15" s="7" t="n">
        <v>24</v>
      </c>
      <c r="H15" s="8" t="n">
        <v>49583</v>
      </c>
      <c r="I15" s="9"/>
      <c r="J15" s="7" t="n">
        <v>1968</v>
      </c>
      <c r="K15" s="10" t="n">
        <v>83</v>
      </c>
      <c r="L15" s="7" t="s">
        <v>48</v>
      </c>
      <c r="M15" s="11" t="s">
        <v>30</v>
      </c>
      <c r="N15" s="12" t="n">
        <f aca="false">IF(H15="",0,(MAX(H$7:H$83)-H15)/(MAX(H$7:H$83)-MIN(H$7:H$83))*10)</f>
        <v>9.90772489414437</v>
      </c>
      <c r="O15" s="12" t="n">
        <f aca="false">IF(I15="",0,(I15-MIN(I$7:I$83))/(MAX(I$7:I$83)-MIN(I$7:I$83))*10)</f>
        <v>0</v>
      </c>
      <c r="P15" s="12" t="n">
        <f aca="false">IF(K15="",5,(K15-MIN(K$7:K$83))/(MAX(K$7:K$83)-MIN(K$7:K$83))*10)</f>
        <v>0</v>
      </c>
      <c r="Q15" s="12" t="n">
        <f aca="false">IF(G15="",0,(G15-MIN(G$7:G$83))/(MAX(G$7:G$83)-MIN(G$7:G$83))*10)</f>
        <v>3.91304347826087</v>
      </c>
      <c r="R15" s="9" t="n">
        <f aca="false">N15*B$4+O15*D$4+P15*F$4+Q15*H$4</f>
        <v>3.75492616389548</v>
      </c>
      <c r="S15" s="7" t="n">
        <f aca="false">RANK(R15,R$7:R$83,0)</f>
        <v>56</v>
      </c>
    </row>
    <row r="16" customFormat="false" ht="15" hidden="false" customHeight="false" outlineLevel="0" collapsed="false">
      <c r="A16" s="13" t="n">
        <v>10</v>
      </c>
      <c r="B16" s="13" t="s">
        <v>25</v>
      </c>
      <c r="C16" s="13" t="s">
        <v>39</v>
      </c>
      <c r="D16" s="14" t="s">
        <v>40</v>
      </c>
      <c r="E16" s="14" t="s">
        <v>49</v>
      </c>
      <c r="F16" s="15" t="n">
        <v>1550000</v>
      </c>
      <c r="G16" s="14" t="n">
        <v>20</v>
      </c>
      <c r="H16" s="15" t="n">
        <v>77500</v>
      </c>
      <c r="I16" s="16"/>
      <c r="J16" s="14"/>
      <c r="K16" s="17"/>
      <c r="L16" s="14" t="s">
        <v>50</v>
      </c>
      <c r="M16" s="18" t="s">
        <v>30</v>
      </c>
      <c r="N16" s="19" t="n">
        <f aca="false">IF(H16="",0,(MAX(H$7:H$83)-H16)/(MAX(H$7:H$83)-MIN(H$7:H$83))*10)</f>
        <v>9.34563802306173</v>
      </c>
      <c r="O16" s="19" t="n">
        <f aca="false">IF(I16="",0,(I16-MIN(I$7:I$83))/(MAX(I$7:I$83)-MIN(I$7:I$83))*10)</f>
        <v>0</v>
      </c>
      <c r="P16" s="19" t="n">
        <f aca="false">IF(K16="",5,(K16-MIN(K$7:K$83))/(MAX(K$7:K$83)-MIN(K$7:K$83))*10)</f>
        <v>5</v>
      </c>
      <c r="Q16" s="19" t="n">
        <f aca="false">IF(G16="",0,(G16-MIN(G$7:G$83))/(MAX(G$7:G$83)-MIN(G$7:G$83))*10)</f>
        <v>3.04347826086957</v>
      </c>
      <c r="R16" s="16" t="n">
        <f aca="false">N16*B$4+O16*D$4+P16*F$4+Q16*H$4</f>
        <v>4.41238705909243</v>
      </c>
      <c r="S16" s="14" t="n">
        <f aca="false">RANK(R16,R$7:R$83,0)</f>
        <v>41</v>
      </c>
    </row>
    <row r="17" customFormat="false" ht="15" hidden="false" customHeight="false" outlineLevel="0" collapsed="false">
      <c r="A17" s="6" t="n">
        <v>11</v>
      </c>
      <c r="B17" s="6" t="s">
        <v>25</v>
      </c>
      <c r="C17" s="6" t="s">
        <v>51</v>
      </c>
      <c r="D17" s="7" t="s">
        <v>40</v>
      </c>
      <c r="E17" s="7" t="s">
        <v>52</v>
      </c>
      <c r="F17" s="8" t="n">
        <v>1900000</v>
      </c>
      <c r="G17" s="7" t="n">
        <v>42</v>
      </c>
      <c r="H17" s="8" t="n">
        <v>45238</v>
      </c>
      <c r="I17" s="9" t="n">
        <v>6.4</v>
      </c>
      <c r="J17" s="7" t="n">
        <v>1920</v>
      </c>
      <c r="K17" s="10"/>
      <c r="L17" s="7" t="s">
        <v>53</v>
      </c>
      <c r="M17" s="11" t="s">
        <v>30</v>
      </c>
      <c r="N17" s="12" t="n">
        <f aca="false">IF(H17="",0,(MAX(H$7:H$83)-H17)/(MAX(H$7:H$83)-MIN(H$7:H$83))*10)</f>
        <v>9.99520805690734</v>
      </c>
      <c r="O17" s="12" t="n">
        <f aca="false">IF(I17="",0,(I17-MIN(I$7:I$83))/(MAX(I$7:I$83)-MIN(I$7:I$83))*10)</f>
        <v>3.72822299651568</v>
      </c>
      <c r="P17" s="12" t="n">
        <f aca="false">IF(K17="",5,(K17-MIN(K$7:K$83))/(MAX(K$7:K$83)-MIN(K$7:K$83))*10)</f>
        <v>5</v>
      </c>
      <c r="Q17" s="12" t="n">
        <f aca="false">IF(G17="",0,(G17-MIN(G$7:G$83))/(MAX(G$7:G$83)-MIN(G$7:G$83))*10)</f>
        <v>7.82608695652174</v>
      </c>
      <c r="R17" s="9" t="n">
        <f aca="false">N17*B$4+O17*D$4+P17*F$4+Q17*H$4</f>
        <v>6.68224670733126</v>
      </c>
      <c r="S17" s="7" t="n">
        <f aca="false">RANK(R17,R$7:R$83,0)</f>
        <v>13</v>
      </c>
    </row>
    <row r="18" customFormat="false" ht="15" hidden="false" customHeight="false" outlineLevel="0" collapsed="false">
      <c r="A18" s="13" t="n">
        <v>12</v>
      </c>
      <c r="B18" s="13" t="s">
        <v>25</v>
      </c>
      <c r="C18" s="13" t="s">
        <v>54</v>
      </c>
      <c r="D18" s="14" t="s">
        <v>40</v>
      </c>
      <c r="E18" s="14" t="s">
        <v>55</v>
      </c>
      <c r="F18" s="15" t="n">
        <v>1690000</v>
      </c>
      <c r="G18" s="14" t="n">
        <v>22</v>
      </c>
      <c r="H18" s="15" t="n">
        <v>76818</v>
      </c>
      <c r="I18" s="16" t="n">
        <v>8.99</v>
      </c>
      <c r="J18" s="14" t="n">
        <v>1963</v>
      </c>
      <c r="K18" s="17"/>
      <c r="L18" s="14" t="s">
        <v>56</v>
      </c>
      <c r="M18" s="18" t="s">
        <v>30</v>
      </c>
      <c r="N18" s="19" t="n">
        <f aca="false">IF(H18="",0,(MAX(H$7:H$83)-H18)/(MAX(H$7:H$83)-MIN(H$7:H$83))*10)</f>
        <v>9.3593695574701</v>
      </c>
      <c r="O18" s="19" t="n">
        <f aca="false">IF(I18="",0,(I18-MIN(I$7:I$83))/(MAX(I$7:I$83)-MIN(I$7:I$83))*10)</f>
        <v>8.2404181184669</v>
      </c>
      <c r="P18" s="19" t="n">
        <f aca="false">IF(K18="",5,(K18-MIN(K$7:K$83))/(MAX(K$7:K$83)-MIN(K$7:K$83))*10)</f>
        <v>5</v>
      </c>
      <c r="Q18" s="19" t="n">
        <f aca="false">IF(G18="",0,(G18-MIN(G$7:G$83))/(MAX(G$7:G$83)-MIN(G$7:G$83))*10)</f>
        <v>3.47826086956522</v>
      </c>
      <c r="R18" s="16" t="n">
        <f aca="false">N18*B$4+O18*D$4+P18*F$4+Q18*H$4</f>
        <v>6.97558847669414</v>
      </c>
      <c r="S18" s="14" t="n">
        <f aca="false">RANK(R18,R$7:R$83,0)</f>
        <v>10</v>
      </c>
    </row>
    <row r="19" customFormat="false" ht="15" hidden="false" customHeight="false" outlineLevel="0" collapsed="false">
      <c r="A19" s="6" t="n">
        <v>13</v>
      </c>
      <c r="B19" s="6" t="s">
        <v>25</v>
      </c>
      <c r="C19" s="6" t="s">
        <v>54</v>
      </c>
      <c r="D19" s="7" t="s">
        <v>40</v>
      </c>
      <c r="E19" s="7" t="s">
        <v>57</v>
      </c>
      <c r="F19" s="8" t="n">
        <v>1250000</v>
      </c>
      <c r="G19" s="7" t="n">
        <v>21</v>
      </c>
      <c r="H19" s="8" t="n">
        <v>59524</v>
      </c>
      <c r="I19" s="9" t="n">
        <v>8.25</v>
      </c>
      <c r="J19" s="7"/>
      <c r="K19" s="10"/>
      <c r="L19" s="7" t="s">
        <v>58</v>
      </c>
      <c r="M19" s="11" t="s">
        <v>30</v>
      </c>
      <c r="N19" s="12" t="n">
        <f aca="false">IF(H19="",0,(MAX(H$7:H$83)-H19)/(MAX(H$7:H$83)-MIN(H$7:H$83))*10)</f>
        <v>9.70757066605996</v>
      </c>
      <c r="O19" s="12" t="n">
        <f aca="false">IF(I19="",0,(I19-MIN(I$7:I$83))/(MAX(I$7:I$83)-MIN(I$7:I$83))*10)</f>
        <v>6.95121951219512</v>
      </c>
      <c r="P19" s="12" t="n">
        <f aca="false">IF(K19="",5,(K19-MIN(K$7:K$83))/(MAX(K$7:K$83)-MIN(K$7:K$83))*10)</f>
        <v>5</v>
      </c>
      <c r="Q19" s="12" t="n">
        <f aca="false">IF(G19="",0,(G19-MIN(G$7:G$83))/(MAX(G$7:G$83)-MIN(G$7:G$83))*10)</f>
        <v>3.26086956521739</v>
      </c>
      <c r="R19" s="9" t="n">
        <f aca="false">N19*B$4+O19*D$4+P19*F$4+Q19*H$4</f>
        <v>6.64981096652</v>
      </c>
      <c r="S19" s="7" t="n">
        <f aca="false">RANK(R19,R$7:R$83,0)</f>
        <v>14</v>
      </c>
    </row>
    <row r="20" customFormat="false" ht="15" hidden="false" customHeight="false" outlineLevel="0" collapsed="false">
      <c r="A20" s="13" t="n">
        <v>14</v>
      </c>
      <c r="B20" s="13" t="s">
        <v>25</v>
      </c>
      <c r="C20" s="13" t="s">
        <v>59</v>
      </c>
      <c r="D20" s="14" t="s">
        <v>60</v>
      </c>
      <c r="E20" s="14" t="s">
        <v>61</v>
      </c>
      <c r="F20" s="15" t="n">
        <v>1500000</v>
      </c>
      <c r="G20" s="14" t="n">
        <v>13</v>
      </c>
      <c r="H20" s="15" t="n">
        <v>115385</v>
      </c>
      <c r="I20" s="16"/>
      <c r="J20" s="14"/>
      <c r="K20" s="17" t="n">
        <v>100</v>
      </c>
      <c r="L20" s="14" t="s">
        <v>62</v>
      </c>
      <c r="M20" s="18" t="s">
        <v>30</v>
      </c>
      <c r="N20" s="19" t="n">
        <f aca="false">IF(H20="",0,(MAX(H$7:H$83)-H20)/(MAX(H$7:H$83)-MIN(H$7:H$83))*10)</f>
        <v>8.58285330009846</v>
      </c>
      <c r="O20" s="19" t="n">
        <f aca="false">IF(I20="",0,(I20-MIN(I$7:I$83))/(MAX(I$7:I$83)-MIN(I$7:I$83))*10)</f>
        <v>0</v>
      </c>
      <c r="P20" s="19" t="n">
        <f aca="false">IF(K20="",5,(K20-MIN(K$7:K$83))/(MAX(K$7:K$83)-MIN(K$7:K$83))*10)</f>
        <v>10</v>
      </c>
      <c r="Q20" s="19" t="n">
        <f aca="false">IF(G20="",0,(G20-MIN(G$7:G$83))/(MAX(G$7:G$83)-MIN(G$7:G$83))*10)</f>
        <v>1.52173913043478</v>
      </c>
      <c r="R20" s="16" t="n">
        <f aca="false">N20*B$4+O20*D$4+P20*F$4+Q20*H$4</f>
        <v>4.87920381611649</v>
      </c>
      <c r="S20" s="14" t="n">
        <f aca="false">RANK(R20,R$7:R$83,0)</f>
        <v>33</v>
      </c>
    </row>
    <row r="21" customFormat="false" ht="15" hidden="false" customHeight="false" outlineLevel="0" collapsed="false">
      <c r="A21" s="6" t="n">
        <v>15</v>
      </c>
      <c r="B21" s="6" t="s">
        <v>25</v>
      </c>
      <c r="C21" s="6" t="s">
        <v>59</v>
      </c>
      <c r="D21" s="7" t="s">
        <v>60</v>
      </c>
      <c r="E21" s="7" t="s">
        <v>63</v>
      </c>
      <c r="F21" s="8" t="n">
        <v>1265000</v>
      </c>
      <c r="G21" s="7" t="n">
        <v>16</v>
      </c>
      <c r="H21" s="8" t="n">
        <v>79063</v>
      </c>
      <c r="I21" s="9"/>
      <c r="J21" s="7"/>
      <c r="K21" s="10"/>
      <c r="L21" s="7" t="s">
        <v>64</v>
      </c>
      <c r="M21" s="11" t="s">
        <v>30</v>
      </c>
      <c r="N21" s="12" t="n">
        <f aca="false">IF(H21="",0,(MAX(H$7:H$83)-H21)/(MAX(H$7:H$83)-MIN(H$7:H$83))*10)</f>
        <v>9.31416824552467</v>
      </c>
      <c r="O21" s="12" t="n">
        <f aca="false">IF(I21="",0,(I21-MIN(I$7:I$83))/(MAX(I$7:I$83)-MIN(I$7:I$83))*10)</f>
        <v>0</v>
      </c>
      <c r="P21" s="12" t="n">
        <f aca="false">IF(K21="",5,(K21-MIN(K$7:K$83))/(MAX(K$7:K$83)-MIN(K$7:K$83))*10)</f>
        <v>5</v>
      </c>
      <c r="Q21" s="12" t="n">
        <f aca="false">IF(G21="",0,(G21-MIN(G$7:G$83))/(MAX(G$7:G$83)-MIN(G$7:G$83))*10)</f>
        <v>2.17391304347826</v>
      </c>
      <c r="R21" s="9" t="n">
        <f aca="false">N21*B$4+O21*D$4+P21*F$4+Q21*H$4</f>
        <v>4.22903308235305</v>
      </c>
      <c r="S21" s="7" t="n">
        <f aca="false">RANK(R21,R$7:R$83,0)</f>
        <v>45</v>
      </c>
    </row>
    <row r="22" customFormat="false" ht="15" hidden="false" customHeight="false" outlineLevel="0" collapsed="false">
      <c r="A22" s="13" t="n">
        <v>16</v>
      </c>
      <c r="B22" s="13" t="s">
        <v>25</v>
      </c>
      <c r="C22" s="13" t="s">
        <v>59</v>
      </c>
      <c r="D22" s="14" t="s">
        <v>60</v>
      </c>
      <c r="E22" s="14" t="s">
        <v>65</v>
      </c>
      <c r="F22" s="15" t="n">
        <v>1900000</v>
      </c>
      <c r="G22" s="14" t="n">
        <v>16</v>
      </c>
      <c r="H22" s="15" t="n">
        <v>118750</v>
      </c>
      <c r="I22" s="16"/>
      <c r="J22" s="14"/>
      <c r="K22" s="17"/>
      <c r="L22" s="14" t="s">
        <v>66</v>
      </c>
      <c r="M22" s="18" t="s">
        <v>30</v>
      </c>
      <c r="N22" s="19" t="n">
        <f aca="false">IF(H22="",0,(MAX(H$7:H$83)-H22)/(MAX(H$7:H$83)-MIN(H$7:H$83))*10)</f>
        <v>8.515101667717</v>
      </c>
      <c r="O22" s="19" t="n">
        <f aca="false">IF(I22="",0,(I22-MIN(I$7:I$83))/(MAX(I$7:I$83)-MIN(I$7:I$83))*10)</f>
        <v>0</v>
      </c>
      <c r="P22" s="19" t="n">
        <f aca="false">IF(K22="",5,(K22-MIN(K$7:K$83))/(MAX(K$7:K$83)-MIN(K$7:K$83))*10)</f>
        <v>5</v>
      </c>
      <c r="Q22" s="19" t="n">
        <f aca="false">IF(G22="",0,(G22-MIN(G$7:G$83))/(MAX(G$7:G$83)-MIN(G$7:G$83))*10)</f>
        <v>2.17391304347826</v>
      </c>
      <c r="R22" s="16" t="n">
        <f aca="false">N22*B$4+O22*D$4+P22*F$4+Q22*H$4</f>
        <v>3.98931310901075</v>
      </c>
      <c r="S22" s="14" t="n">
        <f aca="false">RANK(R22,R$7:R$83,0)</f>
        <v>55</v>
      </c>
    </row>
    <row r="23" customFormat="false" ht="15" hidden="false" customHeight="false" outlineLevel="0" collapsed="false">
      <c r="A23" s="6" t="n">
        <v>17</v>
      </c>
      <c r="B23" s="6" t="s">
        <v>25</v>
      </c>
      <c r="C23" s="6" t="s">
        <v>67</v>
      </c>
      <c r="D23" s="7" t="s">
        <v>68</v>
      </c>
      <c r="E23" s="7" t="s">
        <v>69</v>
      </c>
      <c r="F23" s="8" t="n">
        <v>985000</v>
      </c>
      <c r="G23" s="7" t="n">
        <v>16</v>
      </c>
      <c r="H23" s="8" t="n">
        <v>61563</v>
      </c>
      <c r="I23" s="9" t="n">
        <v>9.78</v>
      </c>
      <c r="J23" s="7" t="n">
        <v>1969</v>
      </c>
      <c r="K23" s="10" t="n">
        <v>100</v>
      </c>
      <c r="L23" s="7" t="s">
        <v>70</v>
      </c>
      <c r="M23" s="11" t="s">
        <v>30</v>
      </c>
      <c r="N23" s="12" t="n">
        <f aca="false">IF(H23="",0,(MAX(H$7:H$83)-H23)/(MAX(H$7:H$83)-MIN(H$7:H$83))*10)</f>
        <v>9.66651700233758</v>
      </c>
      <c r="O23" s="12" t="n">
        <f aca="false">IF(I23="",0,(I23-MIN(I$7:I$83))/(MAX(I$7:I$83)-MIN(I$7:I$83))*10)</f>
        <v>9.61672473867596</v>
      </c>
      <c r="P23" s="12" t="n">
        <f aca="false">IF(K23="",5,(K23-MIN(K$7:K$83))/(MAX(K$7:K$83)-MIN(K$7:K$83))*10)</f>
        <v>10</v>
      </c>
      <c r="Q23" s="12" t="n">
        <f aca="false">IF(G23="",0,(G23-MIN(G$7:G$83))/(MAX(G$7:G$83)-MIN(G$7:G$83))*10)</f>
        <v>2.17391304347826</v>
      </c>
      <c r="R23" s="9" t="n">
        <f aca="false">N23*B$4+O23*D$4+P23*F$4+Q23*H$4</f>
        <v>8.21975513099971</v>
      </c>
      <c r="S23" s="7" t="n">
        <f aca="false">RANK(R23,R$7:R$83,0)</f>
        <v>1</v>
      </c>
    </row>
    <row r="24" customFormat="false" ht="15" hidden="false" customHeight="false" outlineLevel="0" collapsed="false">
      <c r="A24" s="13" t="n">
        <v>18</v>
      </c>
      <c r="B24" s="13" t="s">
        <v>25</v>
      </c>
      <c r="C24" s="13" t="s">
        <v>67</v>
      </c>
      <c r="D24" s="14" t="s">
        <v>68</v>
      </c>
      <c r="E24" s="14" t="s">
        <v>71</v>
      </c>
      <c r="F24" s="15" t="n">
        <v>1300000</v>
      </c>
      <c r="G24" s="14" t="n">
        <v>23</v>
      </c>
      <c r="H24" s="15" t="n">
        <v>56522</v>
      </c>
      <c r="I24" s="16" t="n">
        <v>9.78</v>
      </c>
      <c r="J24" s="14"/>
      <c r="K24" s="17"/>
      <c r="L24" s="14" t="s">
        <v>72</v>
      </c>
      <c r="M24" s="18" t="s">
        <v>30</v>
      </c>
      <c r="N24" s="19" t="n">
        <f aca="false">IF(H24="",0,(MAX(H$7:H$83)-H24)/(MAX(H$7:H$83)-MIN(H$7:H$83))*10)</f>
        <v>9.76801357851438</v>
      </c>
      <c r="O24" s="19" t="n">
        <f aca="false">IF(I24="",0,(I24-MIN(I$7:I$83))/(MAX(I$7:I$83)-MIN(I$7:I$83))*10)</f>
        <v>9.61672473867596</v>
      </c>
      <c r="P24" s="19" t="n">
        <f aca="false">IF(K24="",5,(K24-MIN(K$7:K$83))/(MAX(K$7:K$83)-MIN(K$7:K$83))*10)</f>
        <v>5</v>
      </c>
      <c r="Q24" s="19" t="n">
        <f aca="false">IF(G24="",0,(G24-MIN(G$7:G$83))/(MAX(G$7:G$83)-MIN(G$7:G$83))*10)</f>
        <v>3.69565217391304</v>
      </c>
      <c r="R24" s="16" t="n">
        <f aca="false">N24*B$4+O24*D$4+P24*F$4+Q24*H$4</f>
        <v>7.55455192993971</v>
      </c>
      <c r="S24" s="14" t="n">
        <f aca="false">RANK(R24,R$7:R$83,0)</f>
        <v>7</v>
      </c>
    </row>
    <row r="25" customFormat="false" ht="15" hidden="false" customHeight="false" outlineLevel="0" collapsed="false">
      <c r="A25" s="6" t="n">
        <v>19</v>
      </c>
      <c r="B25" s="6" t="s">
        <v>25</v>
      </c>
      <c r="C25" s="6" t="s">
        <v>67</v>
      </c>
      <c r="D25" s="7" t="s">
        <v>68</v>
      </c>
      <c r="E25" s="7" t="s">
        <v>73</v>
      </c>
      <c r="F25" s="8" t="n">
        <v>1200000</v>
      </c>
      <c r="G25" s="7" t="n">
        <v>18</v>
      </c>
      <c r="H25" s="8" t="n">
        <v>66667</v>
      </c>
      <c r="I25" s="9"/>
      <c r="J25" s="7"/>
      <c r="K25" s="10"/>
      <c r="L25" s="7" t="s">
        <v>74</v>
      </c>
      <c r="M25" s="11" t="s">
        <v>30</v>
      </c>
      <c r="N25" s="12" t="n">
        <f aca="false">IF(H25="",0,(MAX(H$7:H$83)-H25)/(MAX(H$7:H$83)-MIN(H$7:H$83))*10)</f>
        <v>9.56375197063626</v>
      </c>
      <c r="O25" s="12" t="n">
        <f aca="false">IF(I25="",0,(I25-MIN(I$7:I$83))/(MAX(I$7:I$83)-MIN(I$7:I$83))*10)</f>
        <v>0</v>
      </c>
      <c r="P25" s="12" t="n">
        <f aca="false">IF(K25="",5,(K25-MIN(K$7:K$83))/(MAX(K$7:K$83)-MIN(K$7:K$83))*10)</f>
        <v>5</v>
      </c>
      <c r="Q25" s="12" t="n">
        <f aca="false">IF(G25="",0,(G25-MIN(G$7:G$83))/(MAX(G$7:G$83)-MIN(G$7:G$83))*10)</f>
        <v>2.60869565217391</v>
      </c>
      <c r="R25" s="9" t="n">
        <f aca="false">N25*B$4+O25*D$4+P25*F$4+Q25*H$4</f>
        <v>4.39086472162566</v>
      </c>
      <c r="S25" s="7" t="n">
        <f aca="false">RANK(R25,R$7:R$83,0)</f>
        <v>42</v>
      </c>
    </row>
    <row r="26" customFormat="false" ht="23.85" hidden="false" customHeight="false" outlineLevel="0" collapsed="false">
      <c r="A26" s="13" t="n">
        <v>20</v>
      </c>
      <c r="B26" s="13" t="s">
        <v>25</v>
      </c>
      <c r="C26" s="13" t="s">
        <v>75</v>
      </c>
      <c r="D26" s="14" t="s">
        <v>76</v>
      </c>
      <c r="E26" s="14" t="s">
        <v>77</v>
      </c>
      <c r="F26" s="15" t="n">
        <v>995000</v>
      </c>
      <c r="G26" s="14" t="n">
        <v>16</v>
      </c>
      <c r="H26" s="15" t="n">
        <v>62188</v>
      </c>
      <c r="I26" s="16" t="n">
        <v>8.46</v>
      </c>
      <c r="J26" s="14"/>
      <c r="K26" s="17" t="n">
        <v>100</v>
      </c>
      <c r="L26" s="14" t="s">
        <v>78</v>
      </c>
      <c r="M26" s="18" t="s">
        <v>30</v>
      </c>
      <c r="N26" s="19" t="n">
        <f aca="false">IF(H26="",0,(MAX(H$7:H$83)-H26)/(MAX(H$7:H$83)-MIN(H$7:H$83))*10)</f>
        <v>9.65393311816569</v>
      </c>
      <c r="O26" s="19" t="n">
        <f aca="false">IF(I26="",0,(I26-MIN(I$7:I$83))/(MAX(I$7:I$83)-MIN(I$7:I$83))*10)</f>
        <v>7.31707317073171</v>
      </c>
      <c r="P26" s="19" t="n">
        <f aca="false">IF(K26="",5,(K26-MIN(K$7:K$83))/(MAX(K$7:K$83)-MIN(K$7:K$83))*10)</f>
        <v>10</v>
      </c>
      <c r="Q26" s="19" t="n">
        <f aca="false">IF(G26="",0,(G26-MIN(G$7:G$83))/(MAX(G$7:G$83)-MIN(G$7:G$83))*10)</f>
        <v>2.17391304347826</v>
      </c>
      <c r="R26" s="16" t="n">
        <f aca="false">N26*B$4+O26*D$4+P26*F$4+Q26*H$4</f>
        <v>7.52608449536487</v>
      </c>
      <c r="S26" s="14" t="n">
        <f aca="false">RANK(R26,R$7:R$83,0)</f>
        <v>8</v>
      </c>
    </row>
    <row r="27" customFormat="false" ht="23.85" hidden="false" customHeight="false" outlineLevel="0" collapsed="false">
      <c r="A27" s="6" t="n">
        <v>21</v>
      </c>
      <c r="B27" s="6" t="s">
        <v>79</v>
      </c>
      <c r="C27" s="6" t="s">
        <v>80</v>
      </c>
      <c r="D27" s="7" t="s">
        <v>81</v>
      </c>
      <c r="E27" s="7" t="s">
        <v>82</v>
      </c>
      <c r="F27" s="8" t="n">
        <v>1350000</v>
      </c>
      <c r="G27" s="7" t="n">
        <v>16</v>
      </c>
      <c r="H27" s="8" t="n">
        <v>84375</v>
      </c>
      <c r="I27" s="9"/>
      <c r="J27" s="7"/>
      <c r="K27" s="10"/>
      <c r="L27" s="7" t="s">
        <v>83</v>
      </c>
      <c r="M27" s="11" t="s">
        <v>30</v>
      </c>
      <c r="N27" s="12" t="n">
        <f aca="false">IF(H27="",0,(MAX(H$7:H$83)-H27)/(MAX(H$7:H$83)-MIN(H$7:H$83))*10)</f>
        <v>9.20721529717094</v>
      </c>
      <c r="O27" s="12" t="n">
        <f aca="false">IF(I27="",0,(I27-MIN(I$7:I$83))/(MAX(I$7:I$83)-MIN(I$7:I$83))*10)</f>
        <v>0</v>
      </c>
      <c r="P27" s="12" t="n">
        <f aca="false">IF(K27="",5,(K27-MIN(K$7:K$83))/(MAX(K$7:K$83)-MIN(K$7:K$83))*10)</f>
        <v>5</v>
      </c>
      <c r="Q27" s="12" t="n">
        <f aca="false">IF(G27="",0,(G27-MIN(G$7:G$83))/(MAX(G$7:G$83)-MIN(G$7:G$83))*10)</f>
        <v>2.17391304347826</v>
      </c>
      <c r="R27" s="9" t="n">
        <f aca="false">N27*B$4+O27*D$4+P27*F$4+Q27*H$4</f>
        <v>4.19694719784693</v>
      </c>
      <c r="S27" s="7" t="n">
        <f aca="false">RANK(R27,R$7:R$83,0)</f>
        <v>46</v>
      </c>
    </row>
    <row r="28" customFormat="false" ht="15" hidden="false" customHeight="false" outlineLevel="0" collapsed="false">
      <c r="A28" s="13" t="n">
        <v>22</v>
      </c>
      <c r="B28" s="13" t="s">
        <v>79</v>
      </c>
      <c r="C28" s="13" t="s">
        <v>80</v>
      </c>
      <c r="D28" s="14" t="s">
        <v>81</v>
      </c>
      <c r="E28" s="14" t="s">
        <v>84</v>
      </c>
      <c r="F28" s="15" t="n">
        <v>1295000</v>
      </c>
      <c r="G28" s="14" t="n">
        <v>8</v>
      </c>
      <c r="H28" s="15" t="n">
        <v>161875</v>
      </c>
      <c r="I28" s="16"/>
      <c r="J28" s="14"/>
      <c r="K28" s="17"/>
      <c r="L28" s="14" t="s">
        <v>85</v>
      </c>
      <c r="M28" s="18" t="s">
        <v>30</v>
      </c>
      <c r="N28" s="19" t="n">
        <f aca="false">IF(H28="",0,(MAX(H$7:H$83)-H28)/(MAX(H$7:H$83)-MIN(H$7:H$83))*10)</f>
        <v>7.6468136598566</v>
      </c>
      <c r="O28" s="19" t="n">
        <f aca="false">IF(I28="",0,(I28-MIN(I$7:I$83))/(MAX(I$7:I$83)-MIN(I$7:I$83))*10)</f>
        <v>0</v>
      </c>
      <c r="P28" s="19" t="n">
        <f aca="false">IF(K28="",5,(K28-MIN(K$7:K$83))/(MAX(K$7:K$83)-MIN(K$7:K$83))*10)</f>
        <v>5</v>
      </c>
      <c r="Q28" s="19" t="n">
        <f aca="false">IF(G28="",0,(G28-MIN(G$7:G$83))/(MAX(G$7:G$83)-MIN(G$7:G$83))*10)</f>
        <v>0.434782608695652</v>
      </c>
      <c r="R28" s="16" t="n">
        <f aca="false">N28*B$4+O28*D$4+P28*F$4+Q28*H$4</f>
        <v>3.38100061969611</v>
      </c>
      <c r="S28" s="14" t="n">
        <f aca="false">RANK(R28,R$7:R$83,0)</f>
        <v>67</v>
      </c>
    </row>
    <row r="29" customFormat="false" ht="15" hidden="false" customHeight="false" outlineLevel="0" collapsed="false">
      <c r="A29" s="6" t="n">
        <v>23</v>
      </c>
      <c r="B29" s="6" t="s">
        <v>79</v>
      </c>
      <c r="C29" s="6" t="s">
        <v>80</v>
      </c>
      <c r="D29" s="7" t="s">
        <v>81</v>
      </c>
      <c r="E29" s="7" t="s">
        <v>86</v>
      </c>
      <c r="F29" s="8"/>
      <c r="G29" s="7" t="n">
        <v>20</v>
      </c>
      <c r="H29" s="8"/>
      <c r="I29" s="9"/>
      <c r="J29" s="7" t="n">
        <v>1972</v>
      </c>
      <c r="K29" s="10"/>
      <c r="L29" s="7" t="s">
        <v>87</v>
      </c>
      <c r="M29" s="11" t="s">
        <v>30</v>
      </c>
      <c r="N29" s="12" t="n">
        <f aca="false">IF(H29="",0,(MAX(H$7:H$83)-H29)/(MAX(H$7:H$83)-MIN(H$7:H$83))*10)</f>
        <v>0</v>
      </c>
      <c r="O29" s="12" t="n">
        <f aca="false">IF(I29="",0,(I29-MIN(I$7:I$83))/(MAX(I$7:I$83)-MIN(I$7:I$83))*10)</f>
        <v>0</v>
      </c>
      <c r="P29" s="12" t="n">
        <f aca="false">IF(K29="",5,(K29-MIN(K$7:K$83))/(MAX(K$7:K$83)-MIN(K$7:K$83))*10)</f>
        <v>5</v>
      </c>
      <c r="Q29" s="12" t="n">
        <f aca="false">IF(G29="",0,(G29-MIN(G$7:G$83))/(MAX(G$7:G$83)-MIN(G$7:G$83))*10)</f>
        <v>3.04347826086957</v>
      </c>
      <c r="R29" s="9" t="n">
        <f aca="false">N29*B$4+O29*D$4+P29*F$4+Q29*H$4</f>
        <v>1.60869565217391</v>
      </c>
      <c r="S29" s="7" t="n">
        <f aca="false">RANK(R29,R$7:R$83,0)</f>
        <v>76</v>
      </c>
    </row>
    <row r="30" customFormat="false" ht="15" hidden="false" customHeight="false" outlineLevel="0" collapsed="false">
      <c r="A30" s="13" t="n">
        <v>24</v>
      </c>
      <c r="B30" s="13" t="s">
        <v>79</v>
      </c>
      <c r="C30" s="13" t="s">
        <v>80</v>
      </c>
      <c r="D30" s="14" t="s">
        <v>81</v>
      </c>
      <c r="E30" s="14" t="s">
        <v>88</v>
      </c>
      <c r="F30" s="15" t="n">
        <v>3250000</v>
      </c>
      <c r="G30" s="14" t="n">
        <v>6</v>
      </c>
      <c r="H30" s="15" t="n">
        <v>541667</v>
      </c>
      <c r="I30" s="16" t="n">
        <v>6</v>
      </c>
      <c r="J30" s="14"/>
      <c r="K30" s="17"/>
      <c r="L30" s="14" t="s">
        <v>89</v>
      </c>
      <c r="M30" s="18" t="s">
        <v>30</v>
      </c>
      <c r="N30" s="19" t="n">
        <f aca="false">IF(H30="",0,(MAX(H$7:H$83)-H30)/(MAX(H$7:H$83)-MIN(H$7:H$83))*10)</f>
        <v>0</v>
      </c>
      <c r="O30" s="19" t="n">
        <f aca="false">IF(I30="",0,(I30-MIN(I$7:I$83))/(MAX(I$7:I$83)-MIN(I$7:I$83))*10)</f>
        <v>3.03135888501742</v>
      </c>
      <c r="P30" s="19" t="n">
        <f aca="false">IF(K30="",5,(K30-MIN(K$7:K$83))/(MAX(K$7:K$83)-MIN(K$7:K$83))*10)</f>
        <v>5</v>
      </c>
      <c r="Q30" s="19" t="n">
        <f aca="false">IF(G30="",0,(G30-MIN(G$7:G$83))/(MAX(G$7:G$83)-MIN(G$7:G$83))*10)</f>
        <v>0</v>
      </c>
      <c r="R30" s="16" t="n">
        <f aca="false">N30*B$4+O30*D$4+P30*F$4+Q30*H$4</f>
        <v>1.90940766550523</v>
      </c>
      <c r="S30" s="14" t="n">
        <f aca="false">RANK(R30,R$7:R$83,0)</f>
        <v>74</v>
      </c>
    </row>
    <row r="31" customFormat="false" ht="15" hidden="false" customHeight="false" outlineLevel="0" collapsed="false">
      <c r="A31" s="6" t="n">
        <v>25</v>
      </c>
      <c r="B31" s="6" t="s">
        <v>79</v>
      </c>
      <c r="C31" s="6" t="s">
        <v>90</v>
      </c>
      <c r="D31" s="7" t="s">
        <v>81</v>
      </c>
      <c r="E31" s="7" t="s">
        <v>91</v>
      </c>
      <c r="F31" s="8" t="n">
        <v>4200000</v>
      </c>
      <c r="G31" s="7" t="n">
        <v>28</v>
      </c>
      <c r="H31" s="8" t="n">
        <v>150000</v>
      </c>
      <c r="I31" s="9" t="n">
        <v>6.67</v>
      </c>
      <c r="J31" s="7"/>
      <c r="K31" s="10"/>
      <c r="L31" s="7" t="s">
        <v>92</v>
      </c>
      <c r="M31" s="11" t="s">
        <v>30</v>
      </c>
      <c r="N31" s="12" t="n">
        <f aca="false">IF(H31="",0,(MAX(H$7:H$83)-H31)/(MAX(H$7:H$83)-MIN(H$7:H$83))*10)</f>
        <v>7.88590745912251</v>
      </c>
      <c r="O31" s="12" t="n">
        <f aca="false">IF(I31="",0,(I31-MIN(I$7:I$83))/(MAX(I$7:I$83)-MIN(I$7:I$83))*10)</f>
        <v>4.198606271777</v>
      </c>
      <c r="P31" s="12" t="n">
        <f aca="false">IF(K31="",5,(K31-MIN(K$7:K$83))/(MAX(K$7:K$83)-MIN(K$7:K$83))*10)</f>
        <v>5</v>
      </c>
      <c r="Q31" s="12" t="n">
        <f aca="false">IF(G31="",0,(G31-MIN(G$7:G$83))/(MAX(G$7:G$83)-MIN(G$7:G$83))*10)</f>
        <v>4.78260869565217</v>
      </c>
      <c r="R31" s="9" t="n">
        <f aca="false">N31*B$4+O31*D$4+P31*F$4+Q31*H$4</f>
        <v>5.58187585840029</v>
      </c>
      <c r="S31" s="7" t="n">
        <f aca="false">RANK(R31,R$7:R$83,0)</f>
        <v>27</v>
      </c>
    </row>
    <row r="32" customFormat="false" ht="15" hidden="false" customHeight="false" outlineLevel="0" collapsed="false">
      <c r="A32" s="13" t="n">
        <v>26</v>
      </c>
      <c r="B32" s="13" t="s">
        <v>79</v>
      </c>
      <c r="C32" s="13" t="s">
        <v>90</v>
      </c>
      <c r="D32" s="14" t="s">
        <v>81</v>
      </c>
      <c r="E32" s="14" t="s">
        <v>93</v>
      </c>
      <c r="F32" s="15" t="n">
        <v>1899000</v>
      </c>
      <c r="G32" s="14" t="n">
        <v>14</v>
      </c>
      <c r="H32" s="15" t="n">
        <v>135643</v>
      </c>
      <c r="I32" s="16"/>
      <c r="J32" s="14"/>
      <c r="K32" s="17" t="n">
        <v>100</v>
      </c>
      <c r="L32" s="14" t="s">
        <v>94</v>
      </c>
      <c r="M32" s="18" t="s">
        <v>30</v>
      </c>
      <c r="N32" s="19" t="n">
        <f aca="false">IF(H32="",0,(MAX(H$7:H$83)-H32)/(MAX(H$7:H$83)-MIN(H$7:H$83))*10)</f>
        <v>8.17497437921183</v>
      </c>
      <c r="O32" s="19" t="n">
        <f aca="false">IF(I32="",0,(I32-MIN(I$7:I$83))/(MAX(I$7:I$83)-MIN(I$7:I$83))*10)</f>
        <v>0</v>
      </c>
      <c r="P32" s="19" t="n">
        <f aca="false">IF(K32="",5,(K32-MIN(K$7:K$83))/(MAX(K$7:K$83)-MIN(K$7:K$83))*10)</f>
        <v>10</v>
      </c>
      <c r="Q32" s="19" t="n">
        <f aca="false">IF(G32="",0,(G32-MIN(G$7:G$83))/(MAX(G$7:G$83)-MIN(G$7:G$83))*10)</f>
        <v>1.73913043478261</v>
      </c>
      <c r="R32" s="16" t="n">
        <f aca="false">N32*B$4+O32*D$4+P32*F$4+Q32*H$4</f>
        <v>4.80031840072007</v>
      </c>
      <c r="S32" s="14" t="n">
        <f aca="false">RANK(R32,R$7:R$83,0)</f>
        <v>35</v>
      </c>
    </row>
    <row r="33" customFormat="false" ht="15" hidden="false" customHeight="false" outlineLevel="0" collapsed="false">
      <c r="A33" s="6" t="n">
        <v>27</v>
      </c>
      <c r="B33" s="6" t="s">
        <v>79</v>
      </c>
      <c r="C33" s="6" t="s">
        <v>90</v>
      </c>
      <c r="D33" s="7" t="s">
        <v>81</v>
      </c>
      <c r="E33" s="7" t="s">
        <v>95</v>
      </c>
      <c r="F33" s="8" t="n">
        <v>1000000</v>
      </c>
      <c r="G33" s="7" t="n">
        <v>12</v>
      </c>
      <c r="H33" s="8" t="n">
        <v>83333</v>
      </c>
      <c r="I33" s="9"/>
      <c r="J33" s="7"/>
      <c r="K33" s="10"/>
      <c r="L33" s="7" t="s">
        <v>96</v>
      </c>
      <c r="M33" s="11" t="s">
        <v>30</v>
      </c>
      <c r="N33" s="12" t="n">
        <f aca="false">IF(H33="",0,(MAX(H$7:H$83)-H33)/(MAX(H$7:H$83)-MIN(H$7:H$83))*10)</f>
        <v>9.22819514886232</v>
      </c>
      <c r="O33" s="12" t="n">
        <f aca="false">IF(I33="",0,(I33-MIN(I$7:I$83))/(MAX(I$7:I$83)-MIN(I$7:I$83))*10)</f>
        <v>0</v>
      </c>
      <c r="P33" s="12" t="n">
        <f aca="false">IF(K33="",5,(K33-MIN(K$7:K$83))/(MAX(K$7:K$83)-MIN(K$7:K$83))*10)</f>
        <v>5</v>
      </c>
      <c r="Q33" s="12" t="n">
        <f aca="false">IF(G33="",0,(G33-MIN(G$7:G$83))/(MAX(G$7:G$83)-MIN(G$7:G$83))*10)</f>
        <v>1.30434782608696</v>
      </c>
      <c r="R33" s="9" t="n">
        <f aca="false">N33*B$4+O33*D$4+P33*F$4+Q33*H$4</f>
        <v>4.02932810987609</v>
      </c>
      <c r="S33" s="7" t="n">
        <f aca="false">RANK(R33,R$7:R$83,0)</f>
        <v>53</v>
      </c>
    </row>
    <row r="34" customFormat="false" ht="15" hidden="false" customHeight="false" outlineLevel="0" collapsed="false">
      <c r="A34" s="13" t="n">
        <v>28</v>
      </c>
      <c r="B34" s="13" t="s">
        <v>79</v>
      </c>
      <c r="C34" s="13" t="s">
        <v>90</v>
      </c>
      <c r="D34" s="14" t="s">
        <v>81</v>
      </c>
      <c r="E34" s="14" t="s">
        <v>97</v>
      </c>
      <c r="F34" s="15" t="n">
        <v>1099000</v>
      </c>
      <c r="G34" s="14" t="n">
        <v>9</v>
      </c>
      <c r="H34" s="15" t="n">
        <v>122111</v>
      </c>
      <c r="I34" s="16"/>
      <c r="J34" s="14" t="n">
        <v>1926</v>
      </c>
      <c r="K34" s="17"/>
      <c r="L34" s="14" t="s">
        <v>98</v>
      </c>
      <c r="M34" s="18" t="s">
        <v>30</v>
      </c>
      <c r="N34" s="19" t="n">
        <f aca="false">IF(H34="",0,(MAX(H$7:H$83)-H34)/(MAX(H$7:H$83)-MIN(H$7:H$83))*10)</f>
        <v>8.44743057219425</v>
      </c>
      <c r="O34" s="19" t="n">
        <f aca="false">IF(I34="",0,(I34-MIN(I$7:I$83))/(MAX(I$7:I$83)-MIN(I$7:I$83))*10)</f>
        <v>0</v>
      </c>
      <c r="P34" s="19" t="n">
        <f aca="false">IF(K34="",5,(K34-MIN(K$7:K$83))/(MAX(K$7:K$83)-MIN(K$7:K$83))*10)</f>
        <v>5</v>
      </c>
      <c r="Q34" s="19" t="n">
        <f aca="false">IF(G34="",0,(G34-MIN(G$7:G$83))/(MAX(G$7:G$83)-MIN(G$7:G$83))*10)</f>
        <v>0.652173913043478</v>
      </c>
      <c r="R34" s="16" t="n">
        <f aca="false">N34*B$4+O34*D$4+P34*F$4+Q34*H$4</f>
        <v>3.66466395426697</v>
      </c>
      <c r="S34" s="14" t="n">
        <f aca="false">RANK(R34,R$7:R$83,0)</f>
        <v>58</v>
      </c>
    </row>
    <row r="35" customFormat="false" ht="15" hidden="false" customHeight="false" outlineLevel="0" collapsed="false">
      <c r="A35" s="6" t="n">
        <v>29</v>
      </c>
      <c r="B35" s="6" t="s">
        <v>79</v>
      </c>
      <c r="C35" s="6" t="s">
        <v>99</v>
      </c>
      <c r="D35" s="7" t="s">
        <v>100</v>
      </c>
      <c r="E35" s="7" t="s">
        <v>101</v>
      </c>
      <c r="F35" s="8" t="n">
        <v>2225000</v>
      </c>
      <c r="G35" s="7" t="n">
        <v>12</v>
      </c>
      <c r="H35" s="8" t="n">
        <v>185417</v>
      </c>
      <c r="I35" s="9"/>
      <c r="J35" s="7"/>
      <c r="K35" s="10"/>
      <c r="L35" s="7" t="s">
        <v>102</v>
      </c>
      <c r="M35" s="11" t="s">
        <v>30</v>
      </c>
      <c r="N35" s="12" t="n">
        <f aca="false">IF(H35="",0,(MAX(H$7:H$83)-H35)/(MAX(H$7:H$83)-MIN(H$7:H$83))*10)</f>
        <v>7.1728139779772</v>
      </c>
      <c r="O35" s="12" t="n">
        <f aca="false">IF(I35="",0,(I35-MIN(I$7:I$83))/(MAX(I$7:I$83)-MIN(I$7:I$83))*10)</f>
        <v>0</v>
      </c>
      <c r="P35" s="12" t="n">
        <f aca="false">IF(K35="",5,(K35-MIN(K$7:K$83))/(MAX(K$7:K$83)-MIN(K$7:K$83))*10)</f>
        <v>5</v>
      </c>
      <c r="Q35" s="12" t="n">
        <f aca="false">IF(G35="",0,(G35-MIN(G$7:G$83))/(MAX(G$7:G$83)-MIN(G$7:G$83))*10)</f>
        <v>1.30434782608696</v>
      </c>
      <c r="R35" s="9" t="n">
        <f aca="false">N35*B$4+O35*D$4+P35*F$4+Q35*H$4</f>
        <v>3.41271375861055</v>
      </c>
      <c r="S35" s="7" t="n">
        <f aca="false">RANK(R35,R$7:R$83,0)</f>
        <v>65</v>
      </c>
    </row>
    <row r="36" customFormat="false" ht="15" hidden="false" customHeight="false" outlineLevel="0" collapsed="false">
      <c r="A36" s="13" t="n">
        <v>30</v>
      </c>
      <c r="B36" s="13" t="s">
        <v>79</v>
      </c>
      <c r="C36" s="13" t="s">
        <v>99</v>
      </c>
      <c r="D36" s="14" t="s">
        <v>100</v>
      </c>
      <c r="E36" s="14" t="s">
        <v>103</v>
      </c>
      <c r="F36" s="15" t="n">
        <v>3500000</v>
      </c>
      <c r="G36" s="14"/>
      <c r="H36" s="15"/>
      <c r="I36" s="16"/>
      <c r="J36" s="14"/>
      <c r="K36" s="17"/>
      <c r="L36" s="14" t="s">
        <v>104</v>
      </c>
      <c r="M36" s="18" t="s">
        <v>30</v>
      </c>
      <c r="N36" s="19" t="n">
        <f aca="false">IF(H36="",0,(MAX(H$7:H$83)-H36)/(MAX(H$7:H$83)-MIN(H$7:H$83))*10)</f>
        <v>0</v>
      </c>
      <c r="O36" s="19" t="n">
        <f aca="false">IF(I36="",0,(I36-MIN(I$7:I$83))/(MAX(I$7:I$83)-MIN(I$7:I$83))*10)</f>
        <v>0</v>
      </c>
      <c r="P36" s="19" t="n">
        <f aca="false">IF(K36="",5,(K36-MIN(K$7:K$83))/(MAX(K$7:K$83)-MIN(K$7:K$83))*10)</f>
        <v>5</v>
      </c>
      <c r="Q36" s="19" t="n">
        <f aca="false">IF(G36="",0,(G36-MIN(G$7:G$83))/(MAX(G$7:G$83)-MIN(G$7:G$83))*10)</f>
        <v>0</v>
      </c>
      <c r="R36" s="16" t="n">
        <f aca="false">N36*B$4+O36*D$4+P36*F$4+Q36*H$4</f>
        <v>1</v>
      </c>
      <c r="S36" s="14" t="n">
        <f aca="false">RANK(R36,R$7:R$83,0)</f>
        <v>77</v>
      </c>
    </row>
    <row r="37" customFormat="false" ht="15" hidden="false" customHeight="false" outlineLevel="0" collapsed="false">
      <c r="A37" s="6" t="n">
        <v>31</v>
      </c>
      <c r="B37" s="6" t="s">
        <v>79</v>
      </c>
      <c r="C37" s="6" t="s">
        <v>105</v>
      </c>
      <c r="D37" s="7" t="s">
        <v>106</v>
      </c>
      <c r="E37" s="7" t="s">
        <v>107</v>
      </c>
      <c r="F37" s="8" t="n">
        <v>2400000</v>
      </c>
      <c r="G37" s="7" t="n">
        <v>20</v>
      </c>
      <c r="H37" s="8" t="n">
        <v>120000</v>
      </c>
      <c r="I37" s="9"/>
      <c r="J37" s="7"/>
      <c r="K37" s="10"/>
      <c r="L37" s="7" t="s">
        <v>108</v>
      </c>
      <c r="M37" s="11" t="s">
        <v>30</v>
      </c>
      <c r="N37" s="12" t="n">
        <f aca="false">IF(H37="",0,(MAX(H$7:H$83)-H37)/(MAX(H$7:H$83)-MIN(H$7:H$83))*10)</f>
        <v>8.48993389937322</v>
      </c>
      <c r="O37" s="12" t="n">
        <f aca="false">IF(I37="",0,(I37-MIN(I$7:I$83))/(MAX(I$7:I$83)-MIN(I$7:I$83))*10)</f>
        <v>0</v>
      </c>
      <c r="P37" s="12" t="n">
        <f aca="false">IF(K37="",5,(K37-MIN(K$7:K$83))/(MAX(K$7:K$83)-MIN(K$7:K$83))*10)</f>
        <v>5</v>
      </c>
      <c r="Q37" s="12" t="n">
        <f aca="false">IF(G37="",0,(G37-MIN(G$7:G$83))/(MAX(G$7:G$83)-MIN(G$7:G$83))*10)</f>
        <v>3.04347826086957</v>
      </c>
      <c r="R37" s="9" t="n">
        <f aca="false">N37*B$4+O37*D$4+P37*F$4+Q37*H$4</f>
        <v>4.15567582198588</v>
      </c>
      <c r="S37" s="7" t="n">
        <f aca="false">RANK(R37,R$7:R$83,0)</f>
        <v>49</v>
      </c>
    </row>
    <row r="38" customFormat="false" ht="15" hidden="false" customHeight="false" outlineLevel="0" collapsed="false">
      <c r="A38" s="13" t="n">
        <v>32</v>
      </c>
      <c r="B38" s="13" t="s">
        <v>79</v>
      </c>
      <c r="C38" s="13" t="s">
        <v>105</v>
      </c>
      <c r="D38" s="14" t="s">
        <v>106</v>
      </c>
      <c r="E38" s="14" t="s">
        <v>109</v>
      </c>
      <c r="F38" s="15" t="n">
        <v>1040000</v>
      </c>
      <c r="G38" s="14" t="n">
        <v>9</v>
      </c>
      <c r="H38" s="15" t="n">
        <v>115556</v>
      </c>
      <c r="I38" s="16" t="n">
        <v>7.53</v>
      </c>
      <c r="J38" s="14"/>
      <c r="K38" s="17"/>
      <c r="L38" s="14" t="s">
        <v>110</v>
      </c>
      <c r="M38" s="18" t="s">
        <v>30</v>
      </c>
      <c r="N38" s="19" t="n">
        <f aca="false">IF(H38="",0,(MAX(H$7:H$83)-H38)/(MAX(H$7:H$83)-MIN(H$7:H$83))*10)</f>
        <v>8.57941034938903</v>
      </c>
      <c r="O38" s="19" t="n">
        <f aca="false">IF(I38="",0,(I38-MIN(I$7:I$83))/(MAX(I$7:I$83)-MIN(I$7:I$83))*10)</f>
        <v>5.69686411149826</v>
      </c>
      <c r="P38" s="19" t="n">
        <f aca="false">IF(K38="",5,(K38-MIN(K$7:K$83))/(MAX(K$7:K$83)-MIN(K$7:K$83))*10)</f>
        <v>5</v>
      </c>
      <c r="Q38" s="19" t="n">
        <f aca="false">IF(G38="",0,(G38-MIN(G$7:G$83))/(MAX(G$7:G$83)-MIN(G$7:G$83))*10)</f>
        <v>0.652173913043478</v>
      </c>
      <c r="R38" s="16" t="n">
        <f aca="false">N38*B$4+O38*D$4+P38*F$4+Q38*H$4</f>
        <v>5.41331712087488</v>
      </c>
      <c r="S38" s="14" t="n">
        <f aca="false">RANK(R38,R$7:R$83,0)</f>
        <v>28</v>
      </c>
    </row>
    <row r="39" customFormat="false" ht="15" hidden="false" customHeight="false" outlineLevel="0" collapsed="false">
      <c r="A39" s="6" t="n">
        <v>33</v>
      </c>
      <c r="B39" s="6" t="s">
        <v>79</v>
      </c>
      <c r="C39" s="6" t="s">
        <v>105</v>
      </c>
      <c r="D39" s="7" t="s">
        <v>106</v>
      </c>
      <c r="E39" s="7" t="s">
        <v>111</v>
      </c>
      <c r="F39" s="8" t="n">
        <v>4450000</v>
      </c>
      <c r="G39" s="7" t="n">
        <v>27</v>
      </c>
      <c r="H39" s="8" t="n">
        <v>164815</v>
      </c>
      <c r="I39" s="9" t="n">
        <v>6.01</v>
      </c>
      <c r="J39" s="7"/>
      <c r="K39" s="10"/>
      <c r="L39" s="7" t="s">
        <v>112</v>
      </c>
      <c r="M39" s="11" t="s">
        <v>30</v>
      </c>
      <c r="N39" s="12" t="n">
        <f aca="false">IF(H39="",0,(MAX(H$7:H$83)-H39)/(MAX(H$7:H$83)-MIN(H$7:H$83))*10)</f>
        <v>7.58761906871204</v>
      </c>
      <c r="O39" s="12" t="n">
        <f aca="false">IF(I39="",0,(I39-MIN(I$7:I$83))/(MAX(I$7:I$83)-MIN(I$7:I$83))*10)</f>
        <v>3.04878048780488</v>
      </c>
      <c r="P39" s="12" t="n">
        <f aca="false">IF(K39="",5,(K39-MIN(K$7:K$83))/(MAX(K$7:K$83)-MIN(K$7:K$83))*10)</f>
        <v>5</v>
      </c>
      <c r="Q39" s="12" t="n">
        <f aca="false">IF(G39="",0,(G39-MIN(G$7:G$83))/(MAX(G$7:G$83)-MIN(G$7:G$83))*10)</f>
        <v>4.56521739130435</v>
      </c>
      <c r="R39" s="9" t="n">
        <f aca="false">N39*B$4+O39*D$4+P39*F$4+Q39*H$4</f>
        <v>5.10396334521594</v>
      </c>
      <c r="S39" s="7" t="n">
        <f aca="false">RANK(R39,R$7:R$83,0)</f>
        <v>32</v>
      </c>
    </row>
    <row r="40" customFormat="false" ht="15" hidden="false" customHeight="false" outlineLevel="0" collapsed="false">
      <c r="A40" s="13" t="n">
        <v>34</v>
      </c>
      <c r="B40" s="13" t="s">
        <v>79</v>
      </c>
      <c r="C40" s="13" t="s">
        <v>113</v>
      </c>
      <c r="D40" s="14" t="s">
        <v>100</v>
      </c>
      <c r="E40" s="14" t="s">
        <v>114</v>
      </c>
      <c r="F40" s="15" t="n">
        <v>2700000</v>
      </c>
      <c r="G40" s="14" t="n">
        <v>23</v>
      </c>
      <c r="H40" s="15" t="n">
        <v>117391</v>
      </c>
      <c r="I40" s="16" t="n">
        <v>5.91</v>
      </c>
      <c r="J40" s="14" t="n">
        <v>1971</v>
      </c>
      <c r="K40" s="17"/>
      <c r="L40" s="14" t="s">
        <v>115</v>
      </c>
      <c r="M40" s="18" t="s">
        <v>30</v>
      </c>
      <c r="N40" s="19" t="n">
        <f aca="false">IF(H40="",0,(MAX(H$7:H$83)-H40)/(MAX(H$7:H$83)-MIN(H$7:H$83))*10)</f>
        <v>8.54246406546036</v>
      </c>
      <c r="O40" s="19" t="n">
        <f aca="false">IF(I40="",0,(I40-MIN(I$7:I$83))/(MAX(I$7:I$83)-MIN(I$7:I$83))*10)</f>
        <v>2.87456445993031</v>
      </c>
      <c r="P40" s="19" t="n">
        <f aca="false">IF(K40="",5,(K40-MIN(K$7:K$83))/(MAX(K$7:K$83)-MIN(K$7:K$83))*10)</f>
        <v>5</v>
      </c>
      <c r="Q40" s="19" t="n">
        <f aca="false">IF(G40="",0,(G40-MIN(G$7:G$83))/(MAX(G$7:G$83)-MIN(G$7:G$83))*10)</f>
        <v>3.69565217391304</v>
      </c>
      <c r="R40" s="16" t="n">
        <f aca="false">N40*B$4+O40*D$4+P40*F$4+Q40*H$4</f>
        <v>5.16423899239981</v>
      </c>
      <c r="S40" s="14" t="n">
        <f aca="false">RANK(R40,R$7:R$83,0)</f>
        <v>31</v>
      </c>
    </row>
    <row r="41" customFormat="false" ht="15" hidden="false" customHeight="false" outlineLevel="0" collapsed="false">
      <c r="A41" s="6" t="n">
        <v>35</v>
      </c>
      <c r="B41" s="6" t="s">
        <v>79</v>
      </c>
      <c r="C41" s="6" t="s">
        <v>113</v>
      </c>
      <c r="D41" s="7" t="s">
        <v>100</v>
      </c>
      <c r="E41" s="7" t="s">
        <v>116</v>
      </c>
      <c r="F41" s="8" t="n">
        <v>2649000</v>
      </c>
      <c r="G41" s="7" t="n">
        <v>16</v>
      </c>
      <c r="H41" s="8" t="n">
        <v>165563</v>
      </c>
      <c r="I41" s="9" t="n">
        <v>7.97</v>
      </c>
      <c r="J41" s="7"/>
      <c r="K41" s="10"/>
      <c r="L41" s="7" t="s">
        <v>117</v>
      </c>
      <c r="M41" s="11" t="s">
        <v>30</v>
      </c>
      <c r="N41" s="12" t="n">
        <f aca="false">IF(H41="",0,(MAX(H$7:H$83)-H41)/(MAX(H$7:H$83)-MIN(H$7:H$83))*10)</f>
        <v>7.57255867613512</v>
      </c>
      <c r="O41" s="12" t="n">
        <f aca="false">IF(I41="",0,(I41-MIN(I$7:I$83))/(MAX(I$7:I$83)-MIN(I$7:I$83))*10)</f>
        <v>6.46341463414634</v>
      </c>
      <c r="P41" s="12" t="n">
        <f aca="false">IF(K41="",5,(K41-MIN(K$7:K$83))/(MAX(K$7:K$83)-MIN(K$7:K$83))*10)</f>
        <v>5</v>
      </c>
      <c r="Q41" s="12" t="n">
        <f aca="false">IF(G41="",0,(G41-MIN(G$7:G$83))/(MAX(G$7:G$83)-MIN(G$7:G$83))*10)</f>
        <v>2.17391304347826</v>
      </c>
      <c r="R41" s="9" t="n">
        <f aca="false">N41*B$4+O41*D$4+P41*F$4+Q41*H$4</f>
        <v>5.64557460178009</v>
      </c>
      <c r="S41" s="7" t="n">
        <f aca="false">RANK(R41,R$7:R$83,0)</f>
        <v>26</v>
      </c>
    </row>
    <row r="42" customFormat="false" ht="15" hidden="false" customHeight="false" outlineLevel="0" collapsed="false">
      <c r="A42" s="13" t="n">
        <v>36</v>
      </c>
      <c r="B42" s="13" t="s">
        <v>79</v>
      </c>
      <c r="C42" s="13" t="s">
        <v>113</v>
      </c>
      <c r="D42" s="14" t="s">
        <v>100</v>
      </c>
      <c r="E42" s="14" t="s">
        <v>118</v>
      </c>
      <c r="F42" s="15" t="n">
        <v>1350000</v>
      </c>
      <c r="G42" s="14" t="n">
        <v>10</v>
      </c>
      <c r="H42" s="15" t="n">
        <v>135000</v>
      </c>
      <c r="I42" s="16"/>
      <c r="J42" s="14"/>
      <c r="K42" s="17"/>
      <c r="L42" s="14" t="s">
        <v>119</v>
      </c>
      <c r="M42" s="18" t="s">
        <v>30</v>
      </c>
      <c r="N42" s="19" t="n">
        <f aca="false">IF(H42="",0,(MAX(H$7:H$83)-H42)/(MAX(H$7:H$83)-MIN(H$7:H$83))*10)</f>
        <v>8.18792067924787</v>
      </c>
      <c r="O42" s="19" t="n">
        <f aca="false">IF(I42="",0,(I42-MIN(I$7:I$83))/(MAX(I$7:I$83)-MIN(I$7:I$83))*10)</f>
        <v>0</v>
      </c>
      <c r="P42" s="19" t="n">
        <f aca="false">IF(K42="",5,(K42-MIN(K$7:K$83))/(MAX(K$7:K$83)-MIN(K$7:K$83))*10)</f>
        <v>5</v>
      </c>
      <c r="Q42" s="19" t="n">
        <f aca="false">IF(G42="",0,(G42-MIN(G$7:G$83))/(MAX(G$7:G$83)-MIN(G$7:G$83))*10)</f>
        <v>0.869565217391304</v>
      </c>
      <c r="R42" s="16" t="n">
        <f aca="false">N42*B$4+O42*D$4+P42*F$4+Q42*H$4</f>
        <v>3.63028924725262</v>
      </c>
      <c r="S42" s="14" t="n">
        <f aca="false">RANK(R42,R$7:R$83,0)</f>
        <v>60</v>
      </c>
    </row>
    <row r="43" customFormat="false" ht="15" hidden="false" customHeight="false" outlineLevel="0" collapsed="false">
      <c r="A43" s="6" t="n">
        <v>37</v>
      </c>
      <c r="B43" s="6" t="s">
        <v>79</v>
      </c>
      <c r="C43" s="6" t="s">
        <v>120</v>
      </c>
      <c r="D43" s="7" t="s">
        <v>121</v>
      </c>
      <c r="E43" s="7" t="s">
        <v>122</v>
      </c>
      <c r="F43" s="8" t="n">
        <v>2225000</v>
      </c>
      <c r="G43" s="7" t="n">
        <v>12</v>
      </c>
      <c r="H43" s="8" t="n">
        <v>185417</v>
      </c>
      <c r="I43" s="9" t="n">
        <v>9.17</v>
      </c>
      <c r="J43" s="7"/>
      <c r="K43" s="10"/>
      <c r="L43" s="7" t="s">
        <v>123</v>
      </c>
      <c r="M43" s="11" t="s">
        <v>30</v>
      </c>
      <c r="N43" s="12" t="n">
        <f aca="false">IF(H43="",0,(MAX(H$7:H$83)-H43)/(MAX(H$7:H$83)-MIN(H$7:H$83))*10)</f>
        <v>7.1728139779772</v>
      </c>
      <c r="O43" s="12" t="n">
        <f aca="false">IF(I43="",0,(I43-MIN(I$7:I$83))/(MAX(I$7:I$83)-MIN(I$7:I$83))*10)</f>
        <v>8.55400696864112</v>
      </c>
      <c r="P43" s="12" t="n">
        <f aca="false">IF(K43="",5,(K43-MIN(K$7:K$83))/(MAX(K$7:K$83)-MIN(K$7:K$83))*10)</f>
        <v>5</v>
      </c>
      <c r="Q43" s="12" t="n">
        <f aca="false">IF(G43="",0,(G43-MIN(G$7:G$83))/(MAX(G$7:G$83)-MIN(G$7:G$83))*10)</f>
        <v>1.30434782608696</v>
      </c>
      <c r="R43" s="9" t="n">
        <f aca="false">N43*B$4+O43*D$4+P43*F$4+Q43*H$4</f>
        <v>5.97891584920289</v>
      </c>
      <c r="S43" s="7" t="n">
        <f aca="false">RANK(R43,R$7:R$83,0)</f>
        <v>25</v>
      </c>
    </row>
    <row r="44" customFormat="false" ht="15" hidden="false" customHeight="false" outlineLevel="0" collapsed="false">
      <c r="A44" s="13" t="n">
        <v>38</v>
      </c>
      <c r="B44" s="13" t="s">
        <v>79</v>
      </c>
      <c r="C44" s="13" t="s">
        <v>124</v>
      </c>
      <c r="D44" s="14" t="s">
        <v>125</v>
      </c>
      <c r="E44" s="14" t="s">
        <v>126</v>
      </c>
      <c r="F44" s="15" t="n">
        <v>1800000</v>
      </c>
      <c r="G44" s="14" t="n">
        <v>18</v>
      </c>
      <c r="H44" s="15" t="n">
        <v>100000</v>
      </c>
      <c r="I44" s="16" t="n">
        <v>7.28</v>
      </c>
      <c r="J44" s="14"/>
      <c r="K44" s="17" t="n">
        <v>100</v>
      </c>
      <c r="L44" s="14" t="s">
        <v>127</v>
      </c>
      <c r="M44" s="18" t="s">
        <v>30</v>
      </c>
      <c r="N44" s="19" t="n">
        <f aca="false">IF(H44="",0,(MAX(H$7:H$83)-H44)/(MAX(H$7:H$83)-MIN(H$7:H$83))*10)</f>
        <v>8.8926181928737</v>
      </c>
      <c r="O44" s="19" t="n">
        <f aca="false">IF(I44="",0,(I44-MIN(I$7:I$83))/(MAX(I$7:I$83)-MIN(I$7:I$83))*10)</f>
        <v>5.26132404181185</v>
      </c>
      <c r="P44" s="19" t="n">
        <f aca="false">IF(K44="",5,(K44-MIN(K$7:K$83))/(MAX(K$7:K$83)-MIN(K$7:K$83))*10)</f>
        <v>10</v>
      </c>
      <c r="Q44" s="19" t="n">
        <f aca="false">IF(G44="",0,(G44-MIN(G$7:G$83))/(MAX(G$7:G$83)-MIN(G$7:G$83))*10)</f>
        <v>2.60869565217391</v>
      </c>
      <c r="R44" s="16" t="n">
        <f aca="false">N44*B$4+O44*D$4+P44*F$4+Q44*H$4</f>
        <v>6.76792180084045</v>
      </c>
      <c r="S44" s="14" t="n">
        <f aca="false">RANK(R44,R$7:R$83,0)</f>
        <v>11</v>
      </c>
    </row>
    <row r="45" customFormat="false" ht="15" hidden="false" customHeight="false" outlineLevel="0" collapsed="false">
      <c r="A45" s="6" t="n">
        <v>39</v>
      </c>
      <c r="B45" s="6" t="s">
        <v>79</v>
      </c>
      <c r="C45" s="6" t="s">
        <v>124</v>
      </c>
      <c r="D45" s="7" t="s">
        <v>125</v>
      </c>
      <c r="E45" s="7" t="s">
        <v>128</v>
      </c>
      <c r="F45" s="8" t="n">
        <v>1690000</v>
      </c>
      <c r="G45" s="7" t="n">
        <v>24</v>
      </c>
      <c r="H45" s="8" t="n">
        <v>70417</v>
      </c>
      <c r="I45" s="9" t="n">
        <v>7.7</v>
      </c>
      <c r="J45" s="7"/>
      <c r="K45" s="10" t="n">
        <v>100</v>
      </c>
      <c r="L45" s="7" t="s">
        <v>129</v>
      </c>
      <c r="M45" s="11" t="s">
        <v>30</v>
      </c>
      <c r="N45" s="12" t="n">
        <f aca="false">IF(H45="",0,(MAX(H$7:H$83)-H45)/(MAX(H$7:H$83)-MIN(H$7:H$83))*10)</f>
        <v>9.48824866560492</v>
      </c>
      <c r="O45" s="12" t="n">
        <f aca="false">IF(I45="",0,(I45-MIN(I$7:I$83))/(MAX(I$7:I$83)-MIN(I$7:I$83))*10)</f>
        <v>5.99303135888502</v>
      </c>
      <c r="P45" s="12" t="n">
        <f aca="false">IF(K45="",5,(K45-MIN(K$7:K$83))/(MAX(K$7:K$83)-MIN(K$7:K$83))*10)</f>
        <v>10</v>
      </c>
      <c r="Q45" s="12" t="n">
        <f aca="false">IF(G45="",0,(G45-MIN(G$7:G$83))/(MAX(G$7:G$83)-MIN(G$7:G$83))*10)</f>
        <v>3.91304347826087</v>
      </c>
      <c r="R45" s="9" t="n">
        <f aca="false">N45*B$4+O45*D$4+P45*F$4+Q45*H$4</f>
        <v>7.42699270299916</v>
      </c>
      <c r="S45" s="7" t="n">
        <f aca="false">RANK(R45,R$7:R$83,0)</f>
        <v>9</v>
      </c>
    </row>
    <row r="46" customFormat="false" ht="15" hidden="false" customHeight="false" outlineLevel="0" collapsed="false">
      <c r="A46" s="13" t="n">
        <v>40</v>
      </c>
      <c r="B46" s="13" t="s">
        <v>79</v>
      </c>
      <c r="C46" s="13" t="s">
        <v>124</v>
      </c>
      <c r="D46" s="14" t="s">
        <v>125</v>
      </c>
      <c r="E46" s="14" t="s">
        <v>130</v>
      </c>
      <c r="F46" s="15" t="n">
        <v>1564000</v>
      </c>
      <c r="G46" s="14" t="n">
        <v>23</v>
      </c>
      <c r="H46" s="15" t="n">
        <v>68000</v>
      </c>
      <c r="I46" s="16" t="n">
        <v>7.74</v>
      </c>
      <c r="J46" s="14"/>
      <c r="K46" s="17"/>
      <c r="L46" s="14" t="s">
        <v>131</v>
      </c>
      <c r="M46" s="18" t="s">
        <v>30</v>
      </c>
      <c r="N46" s="19" t="n">
        <f aca="false">IF(H46="",0,(MAX(H$7:H$83)-H46)/(MAX(H$7:H$83)-MIN(H$7:H$83))*10)</f>
        <v>9.53691306247445</v>
      </c>
      <c r="O46" s="19" t="n">
        <f aca="false">IF(I46="",0,(I46-MIN(I$7:I$83))/(MAX(I$7:I$83)-MIN(I$7:I$83))*10)</f>
        <v>6.06271777003484</v>
      </c>
      <c r="P46" s="19" t="n">
        <f aca="false">IF(K46="",5,(K46-MIN(K$7:K$83))/(MAX(K$7:K$83)-MIN(K$7:K$83))*10)</f>
        <v>5</v>
      </c>
      <c r="Q46" s="19" t="n">
        <f aca="false">IF(G46="",0,(G46-MIN(G$7:G$83))/(MAX(G$7:G$83)-MIN(G$7:G$83))*10)</f>
        <v>3.69565217391304</v>
      </c>
      <c r="R46" s="16" t="n">
        <f aca="false">N46*B$4+O46*D$4+P46*F$4+Q46*H$4</f>
        <v>6.4190196845354</v>
      </c>
      <c r="S46" s="14" t="n">
        <f aca="false">RANK(R46,R$7:R$83,0)</f>
        <v>18</v>
      </c>
    </row>
    <row r="47" customFormat="false" ht="15" hidden="false" customHeight="false" outlineLevel="0" collapsed="false">
      <c r="A47" s="6" t="n">
        <v>41</v>
      </c>
      <c r="B47" s="6" t="s">
        <v>79</v>
      </c>
      <c r="C47" s="6" t="s">
        <v>124</v>
      </c>
      <c r="D47" s="7" t="s">
        <v>125</v>
      </c>
      <c r="E47" s="7" t="s">
        <v>132</v>
      </c>
      <c r="F47" s="8" t="n">
        <v>2350000</v>
      </c>
      <c r="G47" s="7" t="n">
        <v>32</v>
      </c>
      <c r="H47" s="8" t="n">
        <v>73438</v>
      </c>
      <c r="I47" s="9" t="n">
        <v>6.69</v>
      </c>
      <c r="J47" s="7" t="n">
        <v>1969</v>
      </c>
      <c r="K47" s="10"/>
      <c r="L47" s="7" t="s">
        <v>133</v>
      </c>
      <c r="M47" s="11" t="s">
        <v>30</v>
      </c>
      <c r="N47" s="12" t="n">
        <f aca="false">IF(H47="",0,(MAX(H$7:H$83)-H47)/(MAX(H$7:H$83)-MIN(H$7:H$83))*10)</f>
        <v>9.42742320307168</v>
      </c>
      <c r="O47" s="12" t="n">
        <f aca="false">IF(I47="",0,(I47-MIN(I$7:I$83))/(MAX(I$7:I$83)-MIN(I$7:I$83))*10)</f>
        <v>4.23344947735192</v>
      </c>
      <c r="P47" s="12" t="n">
        <f aca="false">IF(K47="",5,(K47-MIN(K$7:K$83))/(MAX(K$7:K$83)-MIN(K$7:K$83))*10)</f>
        <v>5</v>
      </c>
      <c r="Q47" s="12" t="n">
        <f aca="false">IF(G47="",0,(G47-MIN(G$7:G$83))/(MAX(G$7:G$83)-MIN(G$7:G$83))*10)</f>
        <v>5.65217391304348</v>
      </c>
      <c r="R47" s="9" t="n">
        <f aca="false">N47*B$4+O47*D$4+P47*F$4+Q47*H$4</f>
        <v>6.22869658673577</v>
      </c>
      <c r="S47" s="7" t="n">
        <f aca="false">RANK(R47,R$7:R$83,0)</f>
        <v>21</v>
      </c>
    </row>
    <row r="48" customFormat="false" ht="15" hidden="false" customHeight="false" outlineLevel="0" collapsed="false">
      <c r="A48" s="13" t="n">
        <v>42</v>
      </c>
      <c r="B48" s="13" t="s">
        <v>79</v>
      </c>
      <c r="C48" s="13" t="s">
        <v>124</v>
      </c>
      <c r="D48" s="14" t="s">
        <v>125</v>
      </c>
      <c r="E48" s="14" t="s">
        <v>134</v>
      </c>
      <c r="F48" s="15" t="n">
        <v>2100000</v>
      </c>
      <c r="G48" s="14" t="n">
        <v>32</v>
      </c>
      <c r="H48" s="15" t="n">
        <v>65625</v>
      </c>
      <c r="I48" s="16" t="n">
        <v>7.49</v>
      </c>
      <c r="J48" s="14"/>
      <c r="K48" s="17"/>
      <c r="L48" s="14" t="s">
        <v>135</v>
      </c>
      <c r="M48" s="18" t="s">
        <v>30</v>
      </c>
      <c r="N48" s="19" t="n">
        <f aca="false">IF(H48="",0,(MAX(H$7:H$83)-H48)/(MAX(H$7:H$83)-MIN(H$7:H$83))*10)</f>
        <v>9.58473182232764</v>
      </c>
      <c r="O48" s="19" t="n">
        <f aca="false">IF(I48="",0,(I48-MIN(I$7:I$83))/(MAX(I$7:I$83)-MIN(I$7:I$83))*10)</f>
        <v>5.62717770034843</v>
      </c>
      <c r="P48" s="19" t="n">
        <f aca="false">IF(K48="",5,(K48-MIN(K$7:K$83))/(MAX(K$7:K$83)-MIN(K$7:K$83))*10)</f>
        <v>5</v>
      </c>
      <c r="Q48" s="19" t="n">
        <f aca="false">IF(G48="",0,(G48-MIN(G$7:G$83))/(MAX(G$7:G$83)-MIN(G$7:G$83))*10)</f>
        <v>5.65217391304348</v>
      </c>
      <c r="R48" s="16" t="n">
        <f aca="false">N48*B$4+O48*D$4+P48*F$4+Q48*H$4</f>
        <v>6.69400763941152</v>
      </c>
      <c r="S48" s="14" t="n">
        <f aca="false">RANK(R48,R$7:R$83,0)</f>
        <v>12</v>
      </c>
    </row>
    <row r="49" customFormat="false" ht="15" hidden="false" customHeight="false" outlineLevel="0" collapsed="false">
      <c r="A49" s="6" t="n">
        <v>43</v>
      </c>
      <c r="B49" s="6" t="s">
        <v>79</v>
      </c>
      <c r="C49" s="6" t="s">
        <v>124</v>
      </c>
      <c r="D49" s="7" t="s">
        <v>125</v>
      </c>
      <c r="E49" s="7" t="s">
        <v>136</v>
      </c>
      <c r="F49" s="8" t="n">
        <v>1190000</v>
      </c>
      <c r="G49" s="7" t="n">
        <v>24</v>
      </c>
      <c r="H49" s="8" t="n">
        <v>49583</v>
      </c>
      <c r="I49" s="9"/>
      <c r="J49" s="7"/>
      <c r="K49" s="10"/>
      <c r="L49" s="7" t="s">
        <v>137</v>
      </c>
      <c r="M49" s="11" t="s">
        <v>30</v>
      </c>
      <c r="N49" s="12" t="n">
        <f aca="false">IF(H49="",0,(MAX(H$7:H$83)-H49)/(MAX(H$7:H$83)-MIN(H$7:H$83))*10)</f>
        <v>9.90772489414437</v>
      </c>
      <c r="O49" s="12" t="n">
        <f aca="false">IF(I49="",0,(I49-MIN(I$7:I$83))/(MAX(I$7:I$83)-MIN(I$7:I$83))*10)</f>
        <v>0</v>
      </c>
      <c r="P49" s="12" t="n">
        <f aca="false">IF(K49="",5,(K49-MIN(K$7:K$83))/(MAX(K$7:K$83)-MIN(K$7:K$83))*10)</f>
        <v>5</v>
      </c>
      <c r="Q49" s="12" t="n">
        <f aca="false">IF(G49="",0,(G49-MIN(G$7:G$83))/(MAX(G$7:G$83)-MIN(G$7:G$83))*10)</f>
        <v>3.91304347826087</v>
      </c>
      <c r="R49" s="9" t="n">
        <f aca="false">N49*B$4+O49*D$4+P49*F$4+Q49*H$4</f>
        <v>4.75492616389548</v>
      </c>
      <c r="S49" s="7" t="n">
        <f aca="false">RANK(R49,R$7:R$83,0)</f>
        <v>37</v>
      </c>
    </row>
    <row r="50" customFormat="false" ht="15" hidden="false" customHeight="false" outlineLevel="0" collapsed="false">
      <c r="A50" s="13" t="n">
        <v>44</v>
      </c>
      <c r="B50" s="13" t="s">
        <v>79</v>
      </c>
      <c r="C50" s="13" t="s">
        <v>138</v>
      </c>
      <c r="D50" s="14" t="s">
        <v>139</v>
      </c>
      <c r="E50" s="14" t="s">
        <v>140</v>
      </c>
      <c r="F50" s="15" t="n">
        <v>3194400</v>
      </c>
      <c r="G50" s="14" t="n">
        <v>12</v>
      </c>
      <c r="H50" s="15" t="n">
        <v>266200</v>
      </c>
      <c r="I50" s="16"/>
      <c r="J50" s="14"/>
      <c r="K50" s="17"/>
      <c r="L50" s="14" t="s">
        <v>141</v>
      </c>
      <c r="M50" s="18" t="s">
        <v>30</v>
      </c>
      <c r="N50" s="19" t="n">
        <f aca="false">IF(H50="",0,(MAX(H$7:H$83)-H50)/(MAX(H$7:H$83)-MIN(H$7:H$83))*10)</f>
        <v>5.54631171388476</v>
      </c>
      <c r="O50" s="19" t="n">
        <f aca="false">IF(I50="",0,(I50-MIN(I$7:I$83))/(MAX(I$7:I$83)-MIN(I$7:I$83))*10)</f>
        <v>0</v>
      </c>
      <c r="P50" s="19" t="n">
        <f aca="false">IF(K50="",5,(K50-MIN(K$7:K$83))/(MAX(K$7:K$83)-MIN(K$7:K$83))*10)</f>
        <v>5</v>
      </c>
      <c r="Q50" s="19" t="n">
        <f aca="false">IF(G50="",0,(G50-MIN(G$7:G$83))/(MAX(G$7:G$83)-MIN(G$7:G$83))*10)</f>
        <v>1.30434782608696</v>
      </c>
      <c r="R50" s="16" t="n">
        <f aca="false">N50*B$4+O50*D$4+P50*F$4+Q50*H$4</f>
        <v>2.92476307938282</v>
      </c>
      <c r="S50" s="14" t="n">
        <f aca="false">RANK(R50,R$7:R$83,0)</f>
        <v>71</v>
      </c>
    </row>
    <row r="51" customFormat="false" ht="23.85" hidden="false" customHeight="false" outlineLevel="0" collapsed="false">
      <c r="A51" s="6" t="n">
        <v>45</v>
      </c>
      <c r="B51" s="6" t="s">
        <v>79</v>
      </c>
      <c r="C51" s="6" t="s">
        <v>142</v>
      </c>
      <c r="D51" s="7" t="s">
        <v>143</v>
      </c>
      <c r="E51" s="7" t="s">
        <v>144</v>
      </c>
      <c r="F51" s="8" t="n">
        <v>1499900</v>
      </c>
      <c r="G51" s="7" t="n">
        <v>24</v>
      </c>
      <c r="H51" s="8" t="n">
        <v>62496</v>
      </c>
      <c r="I51" s="9" t="n">
        <v>10</v>
      </c>
      <c r="J51" s="7" t="n">
        <v>1963</v>
      </c>
      <c r="K51" s="10"/>
      <c r="L51" s="7" t="s">
        <v>145</v>
      </c>
      <c r="M51" s="11" t="s">
        <v>30</v>
      </c>
      <c r="N51" s="12" t="n">
        <f aca="false">IF(H51="",0,(MAX(H$7:H$83)-H51)/(MAX(H$7:H$83)-MIN(H$7:H$83))*10)</f>
        <v>9.64773178004579</v>
      </c>
      <c r="O51" s="12" t="n">
        <f aca="false">IF(I51="",0,(I51-MIN(I$7:I$83))/(MAX(I$7:I$83)-MIN(I$7:I$83))*10)</f>
        <v>10</v>
      </c>
      <c r="P51" s="12" t="n">
        <f aca="false">IF(K51="",5,(K51-MIN(K$7:K$83))/(MAX(K$7:K$83)-MIN(K$7:K$83))*10)</f>
        <v>5</v>
      </c>
      <c r="Q51" s="12" t="n">
        <f aca="false">IF(G51="",0,(G51-MIN(G$7:G$83))/(MAX(G$7:G$83)-MIN(G$7:G$83))*10)</f>
        <v>3.91304347826087</v>
      </c>
      <c r="R51" s="9" t="n">
        <f aca="false">N51*B$4+O51*D$4+P51*F$4+Q51*H$4</f>
        <v>7.67692822966591</v>
      </c>
      <c r="S51" s="7" t="n">
        <f aca="false">RANK(R51,R$7:R$83,0)</f>
        <v>6</v>
      </c>
    </row>
    <row r="52" customFormat="false" ht="15" hidden="false" customHeight="false" outlineLevel="0" collapsed="false">
      <c r="A52" s="13" t="n">
        <v>46</v>
      </c>
      <c r="B52" s="13" t="s">
        <v>79</v>
      </c>
      <c r="C52" s="13" t="s">
        <v>142</v>
      </c>
      <c r="D52" s="14" t="s">
        <v>143</v>
      </c>
      <c r="E52" s="14" t="s">
        <v>146</v>
      </c>
      <c r="F52" s="15" t="n">
        <v>1050000</v>
      </c>
      <c r="G52" s="14" t="n">
        <v>8</v>
      </c>
      <c r="H52" s="15" t="n">
        <v>131250</v>
      </c>
      <c r="I52" s="16"/>
      <c r="J52" s="14"/>
      <c r="K52" s="17"/>
      <c r="L52" s="14" t="s">
        <v>147</v>
      </c>
      <c r="M52" s="18" t="s">
        <v>30</v>
      </c>
      <c r="N52" s="19" t="n">
        <f aca="false">IF(H52="",0,(MAX(H$7:H$83)-H52)/(MAX(H$7:H$83)-MIN(H$7:H$83))*10)</f>
        <v>8.26342398427921</v>
      </c>
      <c r="O52" s="19" t="n">
        <f aca="false">IF(I52="",0,(I52-MIN(I$7:I$83))/(MAX(I$7:I$83)-MIN(I$7:I$83))*10)</f>
        <v>0</v>
      </c>
      <c r="P52" s="19" t="n">
        <f aca="false">IF(K52="",5,(K52-MIN(K$7:K$83))/(MAX(K$7:K$83)-MIN(K$7:K$83))*10)</f>
        <v>5</v>
      </c>
      <c r="Q52" s="19" t="n">
        <f aca="false">IF(G52="",0,(G52-MIN(G$7:G$83))/(MAX(G$7:G$83)-MIN(G$7:G$83))*10)</f>
        <v>0.434782608695652</v>
      </c>
      <c r="R52" s="16" t="n">
        <f aca="false">N52*B$4+O52*D$4+P52*F$4+Q52*H$4</f>
        <v>3.56598371702289</v>
      </c>
      <c r="S52" s="14" t="n">
        <f aca="false">RANK(R52,R$7:R$83,0)</f>
        <v>63</v>
      </c>
    </row>
    <row r="53" customFormat="false" ht="15" hidden="false" customHeight="false" outlineLevel="0" collapsed="false">
      <c r="A53" s="6" t="n">
        <v>47</v>
      </c>
      <c r="B53" s="6" t="s">
        <v>148</v>
      </c>
      <c r="C53" s="6" t="s">
        <v>149</v>
      </c>
      <c r="D53" s="7" t="s">
        <v>150</v>
      </c>
      <c r="E53" s="7" t="s">
        <v>151</v>
      </c>
      <c r="F53" s="8" t="n">
        <v>1070000</v>
      </c>
      <c r="G53" s="7" t="n">
        <v>6</v>
      </c>
      <c r="H53" s="8" t="n">
        <v>178333</v>
      </c>
      <c r="I53" s="9"/>
      <c r="J53" s="7"/>
      <c r="K53" s="10"/>
      <c r="L53" s="7" t="s">
        <v>152</v>
      </c>
      <c r="M53" s="11" t="s">
        <v>30</v>
      </c>
      <c r="N53" s="12" t="n">
        <f aca="false">IF(H53="",0,(MAX(H$7:H$83)-H53)/(MAX(H$7:H$83)-MIN(H$7:H$83))*10)</f>
        <v>7.31544475473506</v>
      </c>
      <c r="O53" s="12" t="n">
        <f aca="false">IF(I53="",0,(I53-MIN(I$7:I$83))/(MAX(I$7:I$83)-MIN(I$7:I$83))*10)</f>
        <v>0</v>
      </c>
      <c r="P53" s="12" t="n">
        <f aca="false">IF(K53="",5,(K53-MIN(K$7:K$83))/(MAX(K$7:K$83)-MIN(K$7:K$83))*10)</f>
        <v>5</v>
      </c>
      <c r="Q53" s="12" t="n">
        <f aca="false">IF(G53="",0,(G53-MIN(G$7:G$83))/(MAX(G$7:G$83)-MIN(G$7:G$83))*10)</f>
        <v>0</v>
      </c>
      <c r="R53" s="9" t="n">
        <f aca="false">N53*B$4+O53*D$4+P53*F$4+Q53*H$4</f>
        <v>3.19463342642052</v>
      </c>
      <c r="S53" s="7" t="n">
        <f aca="false">RANK(R53,R$7:R$83,0)</f>
        <v>70</v>
      </c>
    </row>
    <row r="54" customFormat="false" ht="15" hidden="false" customHeight="false" outlineLevel="0" collapsed="false">
      <c r="A54" s="13" t="n">
        <v>48</v>
      </c>
      <c r="B54" s="13" t="s">
        <v>148</v>
      </c>
      <c r="C54" s="13" t="s">
        <v>149</v>
      </c>
      <c r="D54" s="14" t="s">
        <v>150</v>
      </c>
      <c r="E54" s="14" t="s">
        <v>153</v>
      </c>
      <c r="F54" s="15" t="n">
        <v>2925000</v>
      </c>
      <c r="G54" s="14" t="n">
        <v>12</v>
      </c>
      <c r="H54" s="15" t="n">
        <v>243750</v>
      </c>
      <c r="I54" s="16"/>
      <c r="J54" s="14"/>
      <c r="K54" s="17" t="n">
        <v>100</v>
      </c>
      <c r="L54" s="14" t="s">
        <v>154</v>
      </c>
      <c r="M54" s="18" t="s">
        <v>30</v>
      </c>
      <c r="N54" s="19" t="n">
        <f aca="false">IF(H54="",0,(MAX(H$7:H$83)-H54)/(MAX(H$7:H$83)-MIN(H$7:H$83))*10)</f>
        <v>5.99832483333904</v>
      </c>
      <c r="O54" s="19" t="n">
        <f aca="false">IF(I54="",0,(I54-MIN(I$7:I$83))/(MAX(I$7:I$83)-MIN(I$7:I$83))*10)</f>
        <v>0</v>
      </c>
      <c r="P54" s="19" t="n">
        <f aca="false">IF(K54="",5,(K54-MIN(K$7:K$83))/(MAX(K$7:K$83)-MIN(K$7:K$83))*10)</f>
        <v>10</v>
      </c>
      <c r="Q54" s="19" t="n">
        <f aca="false">IF(G54="",0,(G54-MIN(G$7:G$83))/(MAX(G$7:G$83)-MIN(G$7:G$83))*10)</f>
        <v>1.30434782608696</v>
      </c>
      <c r="R54" s="16" t="n">
        <f aca="false">N54*B$4+O54*D$4+P54*F$4+Q54*H$4</f>
        <v>4.0603670152191</v>
      </c>
      <c r="S54" s="14" t="n">
        <f aca="false">RANK(R54,R$7:R$83,0)</f>
        <v>51</v>
      </c>
    </row>
    <row r="55" customFormat="false" ht="15" hidden="false" customHeight="false" outlineLevel="0" collapsed="false">
      <c r="A55" s="6" t="n">
        <v>49</v>
      </c>
      <c r="B55" s="6" t="s">
        <v>148</v>
      </c>
      <c r="C55" s="6" t="s">
        <v>149</v>
      </c>
      <c r="D55" s="7" t="s">
        <v>150</v>
      </c>
      <c r="E55" s="7" t="s">
        <v>155</v>
      </c>
      <c r="F55" s="8" t="n">
        <v>2500000</v>
      </c>
      <c r="G55" s="7" t="n">
        <v>9</v>
      </c>
      <c r="H55" s="8" t="n">
        <v>277778</v>
      </c>
      <c r="I55" s="9"/>
      <c r="J55" s="7"/>
      <c r="K55" s="10"/>
      <c r="L55" s="7" t="s">
        <v>156</v>
      </c>
      <c r="M55" s="11" t="s">
        <v>30</v>
      </c>
      <c r="N55" s="12" t="n">
        <f aca="false">IF(H55="",0,(MAX(H$7:H$83)-H55)/(MAX(H$7:H$83)-MIN(H$7:H$83))*10)</f>
        <v>5.31319777637733</v>
      </c>
      <c r="O55" s="12" t="n">
        <f aca="false">IF(I55="",0,(I55-MIN(I$7:I$83))/(MAX(I$7:I$83)-MIN(I$7:I$83))*10)</f>
        <v>0</v>
      </c>
      <c r="P55" s="12" t="n">
        <f aca="false">IF(K55="",5,(K55-MIN(K$7:K$83))/(MAX(K$7:K$83)-MIN(K$7:K$83))*10)</f>
        <v>5</v>
      </c>
      <c r="Q55" s="12" t="n">
        <f aca="false">IF(G55="",0,(G55-MIN(G$7:G$83))/(MAX(G$7:G$83)-MIN(G$7:G$83))*10)</f>
        <v>0.652173913043478</v>
      </c>
      <c r="R55" s="9" t="n">
        <f aca="false">N55*B$4+O55*D$4+P55*F$4+Q55*H$4</f>
        <v>2.7243941155219</v>
      </c>
      <c r="S55" s="7" t="n">
        <f aca="false">RANK(R55,R$7:R$83,0)</f>
        <v>72</v>
      </c>
    </row>
    <row r="56" customFormat="false" ht="15" hidden="false" customHeight="false" outlineLevel="0" collapsed="false">
      <c r="A56" s="13" t="n">
        <v>50</v>
      </c>
      <c r="B56" s="13" t="s">
        <v>148</v>
      </c>
      <c r="C56" s="13" t="s">
        <v>157</v>
      </c>
      <c r="D56" s="14" t="s">
        <v>158</v>
      </c>
      <c r="E56" s="14" t="s">
        <v>159</v>
      </c>
      <c r="F56" s="15" t="n">
        <v>1099000</v>
      </c>
      <c r="G56" s="14" t="n">
        <v>17</v>
      </c>
      <c r="H56" s="15" t="n">
        <v>64647</v>
      </c>
      <c r="I56" s="16" t="n">
        <v>9.44</v>
      </c>
      <c r="J56" s="14"/>
      <c r="K56" s="17" t="n">
        <v>100</v>
      </c>
      <c r="L56" s="14" t="s">
        <v>160</v>
      </c>
      <c r="M56" s="18" t="s">
        <v>30</v>
      </c>
      <c r="N56" s="19" t="n">
        <f aca="false">IF(H56="",0,(MAX(H$7:H$83)-H56)/(MAX(H$7:H$83)-MIN(H$7:H$83))*10)</f>
        <v>9.60442308427981</v>
      </c>
      <c r="O56" s="19" t="n">
        <f aca="false">IF(I56="",0,(I56-MIN(I$7:I$83))/(MAX(I$7:I$83)-MIN(I$7:I$83))*10)</f>
        <v>9.02439024390244</v>
      </c>
      <c r="P56" s="19" t="n">
        <f aca="false">IF(K56="",5,(K56-MIN(K$7:K$83))/(MAX(K$7:K$83)-MIN(K$7:K$83))*10)</f>
        <v>10</v>
      </c>
      <c r="Q56" s="19" t="n">
        <f aca="false">IF(G56="",0,(G56-MIN(G$7:G$83))/(MAX(G$7:G$83)-MIN(G$7:G$83))*10)</f>
        <v>2.39130434782609</v>
      </c>
      <c r="R56" s="16" t="n">
        <f aca="false">N56*B$4+O56*D$4+P56*F$4+Q56*H$4</f>
        <v>8.06690486801989</v>
      </c>
      <c r="S56" s="14" t="n">
        <f aca="false">RANK(R56,R$7:R$83,0)</f>
        <v>2</v>
      </c>
    </row>
    <row r="57" customFormat="false" ht="15" hidden="false" customHeight="false" outlineLevel="0" collapsed="false">
      <c r="A57" s="6" t="n">
        <v>51</v>
      </c>
      <c r="B57" s="6" t="s">
        <v>148</v>
      </c>
      <c r="C57" s="6" t="s">
        <v>161</v>
      </c>
      <c r="D57" s="7" t="s">
        <v>162</v>
      </c>
      <c r="E57" s="7" t="s">
        <v>163</v>
      </c>
      <c r="F57" s="8" t="n">
        <v>1850000</v>
      </c>
      <c r="G57" s="7" t="n">
        <v>10</v>
      </c>
      <c r="H57" s="8" t="n">
        <v>185000</v>
      </c>
      <c r="I57" s="9"/>
      <c r="J57" s="7"/>
      <c r="K57" s="10"/>
      <c r="L57" s="7" t="s">
        <v>164</v>
      </c>
      <c r="M57" s="11" t="s">
        <v>30</v>
      </c>
      <c r="N57" s="12" t="n">
        <f aca="false">IF(H57="",0,(MAX(H$7:H$83)-H57)/(MAX(H$7:H$83)-MIN(H$7:H$83))*10)</f>
        <v>7.18120994549668</v>
      </c>
      <c r="O57" s="12" t="n">
        <f aca="false">IF(I57="",0,(I57-MIN(I$7:I$83))/(MAX(I$7:I$83)-MIN(I$7:I$83))*10)</f>
        <v>0</v>
      </c>
      <c r="P57" s="12" t="n">
        <f aca="false">IF(K57="",5,(K57-MIN(K$7:K$83))/(MAX(K$7:K$83)-MIN(K$7:K$83))*10)</f>
        <v>5</v>
      </c>
      <c r="Q57" s="12" t="n">
        <f aca="false">IF(G57="",0,(G57-MIN(G$7:G$83))/(MAX(G$7:G$83)-MIN(G$7:G$83))*10)</f>
        <v>0.869565217391304</v>
      </c>
      <c r="R57" s="9" t="n">
        <f aca="false">N57*B$4+O57*D$4+P57*F$4+Q57*H$4</f>
        <v>3.32827602712727</v>
      </c>
      <c r="S57" s="7" t="n">
        <f aca="false">RANK(R57,R$7:R$83,0)</f>
        <v>69</v>
      </c>
    </row>
    <row r="58" customFormat="false" ht="15" hidden="false" customHeight="false" outlineLevel="0" collapsed="false">
      <c r="A58" s="13" t="n">
        <v>52</v>
      </c>
      <c r="B58" s="13" t="s">
        <v>148</v>
      </c>
      <c r="C58" s="13" t="s">
        <v>161</v>
      </c>
      <c r="D58" s="14" t="s">
        <v>162</v>
      </c>
      <c r="E58" s="14" t="s">
        <v>165</v>
      </c>
      <c r="F58" s="15" t="n">
        <v>1350000</v>
      </c>
      <c r="G58" s="14" t="n">
        <v>8</v>
      </c>
      <c r="H58" s="15" t="n">
        <v>168750</v>
      </c>
      <c r="I58" s="16" t="n">
        <v>6.36</v>
      </c>
      <c r="J58" s="14"/>
      <c r="K58" s="17"/>
      <c r="L58" s="14" t="s">
        <v>164</v>
      </c>
      <c r="M58" s="18" t="s">
        <v>30</v>
      </c>
      <c r="N58" s="19" t="n">
        <f aca="false">IF(H58="",0,(MAX(H$7:H$83)-H58)/(MAX(H$7:H$83)-MIN(H$7:H$83))*10)</f>
        <v>7.50839093396582</v>
      </c>
      <c r="O58" s="19" t="n">
        <f aca="false">IF(I58="",0,(I58-MIN(I$7:I$83))/(MAX(I$7:I$83)-MIN(I$7:I$83))*10)</f>
        <v>3.65853658536585</v>
      </c>
      <c r="P58" s="19" t="n">
        <f aca="false">IF(K58="",5,(K58-MIN(K$7:K$83))/(MAX(K$7:K$83)-MIN(K$7:K$83))*10)</f>
        <v>5</v>
      </c>
      <c r="Q58" s="19" t="n">
        <f aca="false">IF(G58="",0,(G58-MIN(G$7:G$83))/(MAX(G$7:G$83)-MIN(G$7:G$83))*10)</f>
        <v>0.434782608695652</v>
      </c>
      <c r="R58" s="16" t="n">
        <f aca="false">N58*B$4+O58*D$4+P58*F$4+Q58*H$4</f>
        <v>4.43703477753863</v>
      </c>
      <c r="S58" s="14" t="n">
        <f aca="false">RANK(R58,R$7:R$83,0)</f>
        <v>39</v>
      </c>
    </row>
    <row r="59" customFormat="false" ht="15" hidden="false" customHeight="false" outlineLevel="0" collapsed="false">
      <c r="A59" s="6" t="n">
        <v>53</v>
      </c>
      <c r="B59" s="6" t="s">
        <v>148</v>
      </c>
      <c r="C59" s="6" t="s">
        <v>161</v>
      </c>
      <c r="D59" s="7" t="s">
        <v>162</v>
      </c>
      <c r="E59" s="7" t="s">
        <v>166</v>
      </c>
      <c r="F59" s="8" t="n">
        <v>2800000</v>
      </c>
      <c r="G59" s="7" t="n">
        <v>20</v>
      </c>
      <c r="H59" s="8" t="n">
        <v>140000</v>
      </c>
      <c r="I59" s="9" t="n">
        <v>4.26</v>
      </c>
      <c r="J59" s="7"/>
      <c r="K59" s="10"/>
      <c r="L59" s="7" t="s">
        <v>167</v>
      </c>
      <c r="M59" s="11" t="s">
        <v>30</v>
      </c>
      <c r="N59" s="12" t="n">
        <f aca="false">IF(H59="",0,(MAX(H$7:H$83)-H59)/(MAX(H$7:H$83)-MIN(H$7:H$83))*10)</f>
        <v>8.08724960587275</v>
      </c>
      <c r="O59" s="12" t="n">
        <f aca="false">IF(I59="",0,(I59-MIN(I$7:I$83))/(MAX(I$7:I$83)-MIN(I$7:I$83))*10)</f>
        <v>0</v>
      </c>
      <c r="P59" s="12" t="n">
        <f aca="false">IF(K59="",5,(K59-MIN(K$7:K$83))/(MAX(K$7:K$83)-MIN(K$7:K$83))*10)</f>
        <v>5</v>
      </c>
      <c r="Q59" s="12" t="n">
        <f aca="false">IF(G59="",0,(G59-MIN(G$7:G$83))/(MAX(G$7:G$83)-MIN(G$7:G$83))*10)</f>
        <v>3.04347826086957</v>
      </c>
      <c r="R59" s="9" t="n">
        <f aca="false">N59*B$4+O59*D$4+P59*F$4+Q59*H$4</f>
        <v>4.03487053393574</v>
      </c>
      <c r="S59" s="7" t="n">
        <f aca="false">RANK(R59,R$7:R$83,0)</f>
        <v>52</v>
      </c>
    </row>
    <row r="60" customFormat="false" ht="15" hidden="false" customHeight="false" outlineLevel="0" collapsed="false">
      <c r="A60" s="13" t="n">
        <v>54</v>
      </c>
      <c r="B60" s="13" t="s">
        <v>148</v>
      </c>
      <c r="C60" s="13" t="s">
        <v>161</v>
      </c>
      <c r="D60" s="14" t="s">
        <v>162</v>
      </c>
      <c r="E60" s="14" t="s">
        <v>168</v>
      </c>
      <c r="F60" s="15" t="n">
        <v>2120000</v>
      </c>
      <c r="G60" s="14" t="n">
        <v>10</v>
      </c>
      <c r="H60" s="15" t="n">
        <v>212000</v>
      </c>
      <c r="I60" s="16" t="n">
        <v>5.14</v>
      </c>
      <c r="J60" s="14"/>
      <c r="K60" s="17"/>
      <c r="L60" s="14" t="s">
        <v>167</v>
      </c>
      <c r="M60" s="18" t="s">
        <v>30</v>
      </c>
      <c r="N60" s="19" t="n">
        <f aca="false">IF(H60="",0,(MAX(H$7:H$83)-H60)/(MAX(H$7:H$83)-MIN(H$7:H$83))*10)</f>
        <v>6.63758614927104</v>
      </c>
      <c r="O60" s="19" t="n">
        <f aca="false">IF(I60="",0,(I60-MIN(I$7:I$83))/(MAX(I$7:I$83)-MIN(I$7:I$83))*10)</f>
        <v>1.53310104529617</v>
      </c>
      <c r="P60" s="19" t="n">
        <f aca="false">IF(K60="",5,(K60-MIN(K$7:K$83))/(MAX(K$7:K$83)-MIN(K$7:K$83))*10)</f>
        <v>5</v>
      </c>
      <c r="Q60" s="19" t="n">
        <f aca="false">IF(G60="",0,(G60-MIN(G$7:G$83))/(MAX(G$7:G$83)-MIN(G$7:G$83))*10)</f>
        <v>0.869565217391304</v>
      </c>
      <c r="R60" s="16" t="n">
        <f aca="false">N60*B$4+O60*D$4+P60*F$4+Q60*H$4</f>
        <v>3.62511920184842</v>
      </c>
      <c r="S60" s="14" t="n">
        <f aca="false">RANK(R60,R$7:R$83,0)</f>
        <v>61</v>
      </c>
    </row>
    <row r="61" customFormat="false" ht="15" hidden="false" customHeight="false" outlineLevel="0" collapsed="false">
      <c r="A61" s="6" t="n">
        <v>55</v>
      </c>
      <c r="B61" s="6" t="s">
        <v>148</v>
      </c>
      <c r="C61" s="6" t="s">
        <v>161</v>
      </c>
      <c r="D61" s="7" t="s">
        <v>162</v>
      </c>
      <c r="E61" s="7" t="s">
        <v>169</v>
      </c>
      <c r="F61" s="8" t="n">
        <v>2249999</v>
      </c>
      <c r="G61" s="7" t="n">
        <v>12</v>
      </c>
      <c r="H61" s="8" t="n">
        <v>187500</v>
      </c>
      <c r="I61" s="9" t="n">
        <v>5.46</v>
      </c>
      <c r="J61" s="7"/>
      <c r="K61" s="10"/>
      <c r="L61" s="7" t="s">
        <v>167</v>
      </c>
      <c r="M61" s="11" t="s">
        <v>30</v>
      </c>
      <c r="N61" s="12" t="n">
        <f aca="false">IF(H61="",0,(MAX(H$7:H$83)-H61)/(MAX(H$7:H$83)-MIN(H$7:H$83))*10)</f>
        <v>7.13087440880912</v>
      </c>
      <c r="O61" s="12" t="n">
        <f aca="false">IF(I61="",0,(I61-MIN(I$7:I$83))/(MAX(I$7:I$83)-MIN(I$7:I$83))*10)</f>
        <v>2.09059233449477</v>
      </c>
      <c r="P61" s="12" t="n">
        <f aca="false">IF(K61="",5,(K61-MIN(K$7:K$83))/(MAX(K$7:K$83)-MIN(K$7:K$83))*10)</f>
        <v>5</v>
      </c>
      <c r="Q61" s="12" t="n">
        <f aca="false">IF(G61="",0,(G61-MIN(G$7:G$83))/(MAX(G$7:G$83)-MIN(G$7:G$83))*10)</f>
        <v>1.30434782608696</v>
      </c>
      <c r="R61" s="9" t="n">
        <f aca="false">N61*B$4+O61*D$4+P61*F$4+Q61*H$4</f>
        <v>4.02730958820856</v>
      </c>
      <c r="S61" s="7" t="n">
        <f aca="false">RANK(R61,R$7:R$83,0)</f>
        <v>54</v>
      </c>
    </row>
    <row r="62" customFormat="false" ht="15" hidden="false" customHeight="false" outlineLevel="0" collapsed="false">
      <c r="A62" s="13" t="n">
        <v>56</v>
      </c>
      <c r="B62" s="13" t="s">
        <v>148</v>
      </c>
      <c r="C62" s="13" t="s">
        <v>161</v>
      </c>
      <c r="D62" s="14" t="s">
        <v>162</v>
      </c>
      <c r="E62" s="14" t="s">
        <v>170</v>
      </c>
      <c r="F62" s="15" t="n">
        <v>1150000</v>
      </c>
      <c r="G62" s="14" t="n">
        <v>7</v>
      </c>
      <c r="H62" s="15" t="n">
        <v>164286</v>
      </c>
      <c r="I62" s="16" t="n">
        <v>6.06</v>
      </c>
      <c r="J62" s="14"/>
      <c r="K62" s="17"/>
      <c r="L62" s="14" t="s">
        <v>167</v>
      </c>
      <c r="M62" s="18" t="s">
        <v>30</v>
      </c>
      <c r="N62" s="19" t="n">
        <f aca="false">IF(H62="",0,(MAX(H$7:H$83)-H62)/(MAX(H$7:H$83)-MIN(H$7:H$83))*10)</f>
        <v>7.59827006827512</v>
      </c>
      <c r="O62" s="19" t="n">
        <f aca="false">IF(I62="",0,(I62-MIN(I$7:I$83))/(MAX(I$7:I$83)-MIN(I$7:I$83))*10)</f>
        <v>3.13588850174216</v>
      </c>
      <c r="P62" s="19" t="n">
        <f aca="false">IF(K62="",5,(K62-MIN(K$7:K$83))/(MAX(K$7:K$83)-MIN(K$7:K$83))*10)</f>
        <v>5</v>
      </c>
      <c r="Q62" s="19" t="n">
        <f aca="false">IF(G62="",0,(G62-MIN(G$7:G$83))/(MAX(G$7:G$83)-MIN(G$7:G$83))*10)</f>
        <v>0.217391304347826</v>
      </c>
      <c r="R62" s="16" t="n">
        <f aca="false">N62*B$4+O62*D$4+P62*F$4+Q62*H$4</f>
        <v>4.26372583187475</v>
      </c>
      <c r="S62" s="14" t="n">
        <f aca="false">RANK(R62,R$7:R$83,0)</f>
        <v>43</v>
      </c>
    </row>
    <row r="63" customFormat="false" ht="15" hidden="false" customHeight="false" outlineLevel="0" collapsed="false">
      <c r="A63" s="6" t="n">
        <v>57</v>
      </c>
      <c r="B63" s="6" t="s">
        <v>148</v>
      </c>
      <c r="C63" s="6" t="s">
        <v>161</v>
      </c>
      <c r="D63" s="7" t="s">
        <v>162</v>
      </c>
      <c r="E63" s="7" t="s">
        <v>171</v>
      </c>
      <c r="F63" s="8" t="n">
        <v>4500000</v>
      </c>
      <c r="G63" s="7" t="n">
        <v>26</v>
      </c>
      <c r="H63" s="8" t="n">
        <v>173077</v>
      </c>
      <c r="I63" s="9" t="n">
        <v>8.16</v>
      </c>
      <c r="J63" s="7"/>
      <c r="K63" s="10"/>
      <c r="L63" s="7" t="s">
        <v>172</v>
      </c>
      <c r="M63" s="11" t="s">
        <v>30</v>
      </c>
      <c r="N63" s="12" t="n">
        <f aca="false">IF(H63="",0,(MAX(H$7:H$83)-H63)/(MAX(H$7:H$83)-MIN(H$7:H$83))*10)</f>
        <v>7.42127018706699</v>
      </c>
      <c r="O63" s="12" t="n">
        <f aca="false">IF(I63="",0,(I63-MIN(I$7:I$83))/(MAX(I$7:I$83)-MIN(I$7:I$83))*10)</f>
        <v>6.79442508710801</v>
      </c>
      <c r="P63" s="12" t="n">
        <f aca="false">IF(K63="",5,(K63-MIN(K$7:K$83))/(MAX(K$7:K$83)-MIN(K$7:K$83))*10)</f>
        <v>5</v>
      </c>
      <c r="Q63" s="12" t="n">
        <f aca="false">IF(G63="",0,(G63-MIN(G$7:G$83))/(MAX(G$7:G$83)-MIN(G$7:G$83))*10)</f>
        <v>4.34782608695652</v>
      </c>
      <c r="R63" s="9" t="n">
        <f aca="false">N63*B$4+O63*D$4+P63*F$4+Q63*H$4</f>
        <v>6.13427379964381</v>
      </c>
      <c r="S63" s="7" t="n">
        <f aca="false">RANK(R63,R$7:R$83,0)</f>
        <v>23</v>
      </c>
    </row>
    <row r="64" customFormat="false" ht="15" hidden="false" customHeight="false" outlineLevel="0" collapsed="false">
      <c r="A64" s="13" t="n">
        <v>58</v>
      </c>
      <c r="B64" s="13" t="s">
        <v>148</v>
      </c>
      <c r="C64" s="13" t="s">
        <v>161</v>
      </c>
      <c r="D64" s="14" t="s">
        <v>162</v>
      </c>
      <c r="E64" s="14" t="s">
        <v>173</v>
      </c>
      <c r="F64" s="15" t="n">
        <v>4500000</v>
      </c>
      <c r="G64" s="14" t="n">
        <v>45</v>
      </c>
      <c r="H64" s="15" t="n">
        <v>100000</v>
      </c>
      <c r="I64" s="16"/>
      <c r="J64" s="14"/>
      <c r="K64" s="17"/>
      <c r="L64" s="14" t="s">
        <v>174</v>
      </c>
      <c r="M64" s="18" t="s">
        <v>30</v>
      </c>
      <c r="N64" s="19" t="n">
        <f aca="false">IF(H64="",0,(MAX(H$7:H$83)-H64)/(MAX(H$7:H$83)-MIN(H$7:H$83))*10)</f>
        <v>8.8926181928737</v>
      </c>
      <c r="O64" s="19" t="n">
        <f aca="false">IF(I64="",0,(I64-MIN(I$7:I$83))/(MAX(I$7:I$83)-MIN(I$7:I$83))*10)</f>
        <v>0</v>
      </c>
      <c r="P64" s="19" t="n">
        <f aca="false">IF(K64="",5,(K64-MIN(K$7:K$83))/(MAX(K$7:K$83)-MIN(K$7:K$83))*10)</f>
        <v>5</v>
      </c>
      <c r="Q64" s="19" t="n">
        <f aca="false">IF(G64="",0,(G64-MIN(G$7:G$83))/(MAX(G$7:G$83)-MIN(G$7:G$83))*10)</f>
        <v>8.47826086956522</v>
      </c>
      <c r="R64" s="16" t="n">
        <f aca="false">N64*B$4+O64*D$4+P64*F$4+Q64*H$4</f>
        <v>5.36343763177515</v>
      </c>
      <c r="S64" s="14" t="n">
        <f aca="false">RANK(R64,R$7:R$83,0)</f>
        <v>29</v>
      </c>
    </row>
    <row r="65" customFormat="false" ht="15" hidden="false" customHeight="false" outlineLevel="0" collapsed="false">
      <c r="A65" s="6" t="n">
        <v>59</v>
      </c>
      <c r="B65" s="6" t="s">
        <v>148</v>
      </c>
      <c r="C65" s="6" t="s">
        <v>161</v>
      </c>
      <c r="D65" s="7" t="s">
        <v>162</v>
      </c>
      <c r="E65" s="7" t="s">
        <v>175</v>
      </c>
      <c r="F65" s="8" t="n">
        <v>4100000</v>
      </c>
      <c r="G65" s="7" t="n">
        <v>38</v>
      </c>
      <c r="H65" s="8" t="n">
        <v>107895</v>
      </c>
      <c r="I65" s="9" t="n">
        <v>7.07</v>
      </c>
      <c r="J65" s="7"/>
      <c r="K65" s="10"/>
      <c r="L65" s="7" t="s">
        <v>176</v>
      </c>
      <c r="M65" s="11" t="s">
        <v>30</v>
      </c>
      <c r="N65" s="12" t="n">
        <f aca="false">IF(H65="",0,(MAX(H$7:H$83)-H65)/(MAX(H$7:H$83)-MIN(H$7:H$83))*10)</f>
        <v>8.73365856801438</v>
      </c>
      <c r="O65" s="12" t="n">
        <f aca="false">IF(I65="",0,(I65-MIN(I$7:I$83))/(MAX(I$7:I$83)-MIN(I$7:I$83))*10)</f>
        <v>4.89547038327526</v>
      </c>
      <c r="P65" s="12" t="n">
        <f aca="false">IF(K65="",5,(K65-MIN(K$7:K$83))/(MAX(K$7:K$83)-MIN(K$7:K$83))*10)</f>
        <v>5</v>
      </c>
      <c r="Q65" s="12" t="n">
        <f aca="false">IF(G65="",0,(G65-MIN(G$7:G$83))/(MAX(G$7:G$83)-MIN(G$7:G$83))*10)</f>
        <v>6.95652173913044</v>
      </c>
      <c r="R65" s="9" t="n">
        <f aca="false">N65*B$4+O65*D$4+P65*F$4+Q65*H$4</f>
        <v>6.48004303321298</v>
      </c>
      <c r="S65" s="7" t="n">
        <f aca="false">RANK(R65,R$7:R$83,0)</f>
        <v>17</v>
      </c>
    </row>
    <row r="66" customFormat="false" ht="15" hidden="false" customHeight="false" outlineLevel="0" collapsed="false">
      <c r="A66" s="13" t="n">
        <v>60</v>
      </c>
      <c r="B66" s="13" t="s">
        <v>148</v>
      </c>
      <c r="C66" s="13" t="s">
        <v>161</v>
      </c>
      <c r="D66" s="14" t="s">
        <v>162</v>
      </c>
      <c r="E66" s="14" t="s">
        <v>177</v>
      </c>
      <c r="F66" s="15" t="n">
        <v>2050000</v>
      </c>
      <c r="G66" s="14" t="n">
        <v>12</v>
      </c>
      <c r="H66" s="15" t="n">
        <v>170833</v>
      </c>
      <c r="I66" s="16" t="n">
        <v>5.36</v>
      </c>
      <c r="J66" s="14"/>
      <c r="K66" s="17"/>
      <c r="L66" s="14" t="s">
        <v>176</v>
      </c>
      <c r="M66" s="18" t="s">
        <v>30</v>
      </c>
      <c r="N66" s="19" t="n">
        <f aca="false">IF(H66="",0,(MAX(H$7:H$83)-H66)/(MAX(H$7:H$83)-MIN(H$7:H$83))*10)</f>
        <v>7.46645136479774</v>
      </c>
      <c r="O66" s="19" t="n">
        <f aca="false">IF(I66="",0,(I66-MIN(I$7:I$83))/(MAX(I$7:I$83)-MIN(I$7:I$83))*10)</f>
        <v>1.91637630662021</v>
      </c>
      <c r="P66" s="19" t="n">
        <f aca="false">IF(K66="",5,(K66-MIN(K$7:K$83))/(MAX(K$7:K$83)-MIN(K$7:K$83))*10)</f>
        <v>5</v>
      </c>
      <c r="Q66" s="19" t="n">
        <f aca="false">IF(G66="",0,(G66-MIN(G$7:G$83))/(MAX(G$7:G$83)-MIN(G$7:G$83))*10)</f>
        <v>1.30434782608696</v>
      </c>
      <c r="R66" s="16" t="n">
        <f aca="false">N66*B$4+O66*D$4+P66*F$4+Q66*H$4</f>
        <v>4.07571786664278</v>
      </c>
      <c r="S66" s="14" t="n">
        <f aca="false">RANK(R66,R$7:R$83,0)</f>
        <v>50</v>
      </c>
    </row>
    <row r="67" customFormat="false" ht="15" hidden="false" customHeight="false" outlineLevel="0" collapsed="false">
      <c r="A67" s="6" t="n">
        <v>61</v>
      </c>
      <c r="B67" s="6" t="s">
        <v>148</v>
      </c>
      <c r="C67" s="6" t="s">
        <v>178</v>
      </c>
      <c r="D67" s="7" t="s">
        <v>125</v>
      </c>
      <c r="E67" s="7" t="s">
        <v>179</v>
      </c>
      <c r="F67" s="8" t="n">
        <v>1999999</v>
      </c>
      <c r="G67" s="7" t="n">
        <v>28</v>
      </c>
      <c r="H67" s="8" t="n">
        <v>71429</v>
      </c>
      <c r="I67" s="9" t="n">
        <v>6.98</v>
      </c>
      <c r="J67" s="7" t="n">
        <v>1950</v>
      </c>
      <c r="K67" s="10"/>
      <c r="L67" s="7" t="s">
        <v>180</v>
      </c>
      <c r="M67" s="11" t="s">
        <v>30</v>
      </c>
      <c r="N67" s="12" t="n">
        <f aca="false">IF(H67="",0,(MAX(H$7:H$83)-H67)/(MAX(H$7:H$83)-MIN(H$7:H$83))*10)</f>
        <v>9.4678728403538</v>
      </c>
      <c r="O67" s="12" t="n">
        <f aca="false">IF(I67="",0,(I67-MIN(I$7:I$83))/(MAX(I$7:I$83)-MIN(I$7:I$83))*10)</f>
        <v>4.73867595818815</v>
      </c>
      <c r="P67" s="12" t="n">
        <f aca="false">IF(K67="",5,(K67-MIN(K$7:K$83))/(MAX(K$7:K$83)-MIN(K$7:K$83))*10)</f>
        <v>5</v>
      </c>
      <c r="Q67" s="12" t="n">
        <f aca="false">IF(G67="",0,(G67-MIN(G$7:G$83))/(MAX(G$7:G$83)-MIN(G$7:G$83))*10)</f>
        <v>4.78260869565217</v>
      </c>
      <c r="R67" s="9" t="n">
        <f aca="false">N67*B$4+O67*D$4+P67*F$4+Q67*H$4</f>
        <v>6.21848637869302</v>
      </c>
      <c r="S67" s="7" t="n">
        <f aca="false">RANK(R67,R$7:R$83,0)</f>
        <v>22</v>
      </c>
    </row>
    <row r="68" customFormat="false" ht="15" hidden="false" customHeight="false" outlineLevel="0" collapsed="false">
      <c r="A68" s="13" t="n">
        <v>62</v>
      </c>
      <c r="B68" s="13" t="s">
        <v>148</v>
      </c>
      <c r="C68" s="13" t="s">
        <v>178</v>
      </c>
      <c r="D68" s="14" t="s">
        <v>125</v>
      </c>
      <c r="E68" s="14" t="s">
        <v>181</v>
      </c>
      <c r="F68" s="15" t="n">
        <v>2400000</v>
      </c>
      <c r="G68" s="14"/>
      <c r="H68" s="15"/>
      <c r="I68" s="16" t="n">
        <v>5.81</v>
      </c>
      <c r="J68" s="14"/>
      <c r="K68" s="17"/>
      <c r="L68" s="14" t="s">
        <v>182</v>
      </c>
      <c r="M68" s="18" t="s">
        <v>30</v>
      </c>
      <c r="N68" s="19" t="n">
        <f aca="false">IF(H68="",0,(MAX(H$7:H$83)-H68)/(MAX(H$7:H$83)-MIN(H$7:H$83))*10)</f>
        <v>0</v>
      </c>
      <c r="O68" s="19" t="n">
        <f aca="false">IF(I68="",0,(I68-MIN(I$7:I$83))/(MAX(I$7:I$83)-MIN(I$7:I$83))*10)</f>
        <v>2.70034843205575</v>
      </c>
      <c r="P68" s="19" t="n">
        <f aca="false">IF(K68="",5,(K68-MIN(K$7:K$83))/(MAX(K$7:K$83)-MIN(K$7:K$83))*10)</f>
        <v>5</v>
      </c>
      <c r="Q68" s="19" t="n">
        <f aca="false">IF(G68="",0,(G68-MIN(G$7:G$83))/(MAX(G$7:G$83)-MIN(G$7:G$83))*10)</f>
        <v>0</v>
      </c>
      <c r="R68" s="16" t="n">
        <f aca="false">N68*B$4+O68*D$4+P68*F$4+Q68*H$4</f>
        <v>1.81010452961672</v>
      </c>
      <c r="S68" s="14" t="n">
        <f aca="false">RANK(R68,R$7:R$83,0)</f>
        <v>75</v>
      </c>
    </row>
    <row r="69" customFormat="false" ht="15" hidden="false" customHeight="false" outlineLevel="0" collapsed="false">
      <c r="A69" s="6" t="n">
        <v>63</v>
      </c>
      <c r="B69" s="6" t="s">
        <v>148</v>
      </c>
      <c r="C69" s="6" t="s">
        <v>183</v>
      </c>
      <c r="D69" s="7" t="s">
        <v>162</v>
      </c>
      <c r="E69" s="7" t="s">
        <v>184</v>
      </c>
      <c r="F69" s="8" t="n">
        <v>3700000</v>
      </c>
      <c r="G69" s="7" t="n">
        <v>32</v>
      </c>
      <c r="H69" s="8" t="n">
        <v>115625</v>
      </c>
      <c r="I69" s="9" t="n">
        <v>5.14</v>
      </c>
      <c r="J69" s="7"/>
      <c r="K69" s="10" t="n">
        <v>87</v>
      </c>
      <c r="L69" s="7" t="s">
        <v>185</v>
      </c>
      <c r="M69" s="11" t="s">
        <v>30</v>
      </c>
      <c r="N69" s="12" t="n">
        <f aca="false">IF(H69="",0,(MAX(H$7:H$83)-H69)/(MAX(H$7:H$83)-MIN(H$7:H$83))*10)</f>
        <v>8.57802108857645</v>
      </c>
      <c r="O69" s="12" t="n">
        <f aca="false">IF(I69="",0,(I69-MIN(I$7:I$83))/(MAX(I$7:I$83)-MIN(I$7:I$83))*10)</f>
        <v>1.53310104529617</v>
      </c>
      <c r="P69" s="12" t="n">
        <f aca="false">IF(K69="",5,(K69-MIN(K$7:K$83))/(MAX(K$7:K$83)-MIN(K$7:K$83))*10)</f>
        <v>2.35294117647059</v>
      </c>
      <c r="Q69" s="12" t="n">
        <f aca="false">IF(G69="",0,(G69-MIN(G$7:G$83))/(MAX(G$7:G$83)-MIN(G$7:G$83))*10)</f>
        <v>5.65217391304348</v>
      </c>
      <c r="R69" s="9" t="n">
        <f aca="false">N69*B$4+O69*D$4+P69*F$4+Q69*H$4</f>
        <v>4.6343596580646</v>
      </c>
      <c r="S69" s="7" t="n">
        <f aca="false">RANK(R69,R$7:R$83,0)</f>
        <v>38</v>
      </c>
    </row>
    <row r="70" customFormat="false" ht="15" hidden="false" customHeight="false" outlineLevel="0" collapsed="false">
      <c r="A70" s="13" t="n">
        <v>64</v>
      </c>
      <c r="B70" s="13" t="s">
        <v>148</v>
      </c>
      <c r="C70" s="13" t="s">
        <v>183</v>
      </c>
      <c r="D70" s="14" t="s">
        <v>162</v>
      </c>
      <c r="E70" s="14" t="s">
        <v>186</v>
      </c>
      <c r="F70" s="15" t="n">
        <v>4100000</v>
      </c>
      <c r="G70" s="14" t="n">
        <v>18</v>
      </c>
      <c r="H70" s="15" t="n">
        <v>227778</v>
      </c>
      <c r="I70" s="16"/>
      <c r="J70" s="14"/>
      <c r="K70" s="17"/>
      <c r="L70" s="14" t="s">
        <v>187</v>
      </c>
      <c r="M70" s="18" t="s">
        <v>30</v>
      </c>
      <c r="N70" s="19" t="n">
        <f aca="false">IF(H70="",0,(MAX(H$7:H$83)-H70)/(MAX(H$7:H$83)-MIN(H$7:H$83))*10)</f>
        <v>6.31990851012852</v>
      </c>
      <c r="O70" s="19" t="n">
        <f aca="false">IF(I70="",0,(I70-MIN(I$7:I$83))/(MAX(I$7:I$83)-MIN(I$7:I$83))*10)</f>
        <v>0</v>
      </c>
      <c r="P70" s="19" t="n">
        <f aca="false">IF(K70="",5,(K70-MIN(K$7:K$83))/(MAX(K$7:K$83)-MIN(K$7:K$83))*10)</f>
        <v>5</v>
      </c>
      <c r="Q70" s="19" t="n">
        <f aca="false">IF(G70="",0,(G70-MIN(G$7:G$83))/(MAX(G$7:G$83)-MIN(G$7:G$83))*10)</f>
        <v>2.60869565217391</v>
      </c>
      <c r="R70" s="16" t="n">
        <f aca="false">N70*B$4+O70*D$4+P70*F$4+Q70*H$4</f>
        <v>3.41771168347334</v>
      </c>
      <c r="S70" s="14" t="n">
        <f aca="false">RANK(R70,R$7:R$83,0)</f>
        <v>64</v>
      </c>
    </row>
    <row r="71" customFormat="false" ht="15" hidden="false" customHeight="false" outlineLevel="0" collapsed="false">
      <c r="A71" s="6" t="n">
        <v>65</v>
      </c>
      <c r="B71" s="6" t="s">
        <v>148</v>
      </c>
      <c r="C71" s="6" t="s">
        <v>183</v>
      </c>
      <c r="D71" s="7" t="s">
        <v>162</v>
      </c>
      <c r="E71" s="7" t="s">
        <v>188</v>
      </c>
      <c r="F71" s="8" t="n">
        <v>3690000</v>
      </c>
      <c r="G71" s="7" t="n">
        <v>15</v>
      </c>
      <c r="H71" s="8" t="n">
        <v>246000</v>
      </c>
      <c r="I71" s="9" t="n">
        <v>5.03</v>
      </c>
      <c r="J71" s="7"/>
      <c r="K71" s="10"/>
      <c r="L71" s="7" t="s">
        <v>189</v>
      </c>
      <c r="M71" s="11" t="s">
        <v>30</v>
      </c>
      <c r="N71" s="12" t="n">
        <f aca="false">IF(H71="",0,(MAX(H$7:H$83)-H71)/(MAX(H$7:H$83)-MIN(H$7:H$83))*10)</f>
        <v>5.95302285032023</v>
      </c>
      <c r="O71" s="12" t="n">
        <f aca="false">IF(I71="",0,(I71-MIN(I$7:I$83))/(MAX(I$7:I$83)-MIN(I$7:I$83))*10)</f>
        <v>1.34146341463415</v>
      </c>
      <c r="P71" s="12" t="n">
        <f aca="false">IF(K71="",5,(K71-MIN(K$7:K$83))/(MAX(K$7:K$83)-MIN(K$7:K$83))*10)</f>
        <v>5</v>
      </c>
      <c r="Q71" s="12" t="n">
        <f aca="false">IF(G71="",0,(G71-MIN(G$7:G$83))/(MAX(G$7:G$83)-MIN(G$7:G$83))*10)</f>
        <v>1.95652173913043</v>
      </c>
      <c r="R71" s="9" t="n">
        <f aca="false">N71*B$4+O71*D$4+P71*F$4+Q71*H$4</f>
        <v>3.5796502273124</v>
      </c>
      <c r="S71" s="7" t="n">
        <f aca="false">RANK(R71,R$7:R$83,0)</f>
        <v>62</v>
      </c>
    </row>
    <row r="72" customFormat="false" ht="15" hidden="false" customHeight="false" outlineLevel="0" collapsed="false">
      <c r="A72" s="13" t="n">
        <v>66</v>
      </c>
      <c r="B72" s="13" t="s">
        <v>148</v>
      </c>
      <c r="C72" s="13" t="s">
        <v>183</v>
      </c>
      <c r="D72" s="14" t="s">
        <v>162</v>
      </c>
      <c r="E72" s="14" t="s">
        <v>190</v>
      </c>
      <c r="F72" s="15" t="n">
        <v>3091307</v>
      </c>
      <c r="G72" s="14" t="n">
        <v>17</v>
      </c>
      <c r="H72" s="15" t="n">
        <v>181841</v>
      </c>
      <c r="I72" s="16" t="n">
        <v>6.45</v>
      </c>
      <c r="J72" s="14"/>
      <c r="K72" s="17"/>
      <c r="L72" s="14" t="s">
        <v>191</v>
      </c>
      <c r="M72" s="18" t="s">
        <v>30</v>
      </c>
      <c r="N72" s="19" t="n">
        <f aca="false">IF(H72="",0,(MAX(H$7:H$83)-H72)/(MAX(H$7:H$83)-MIN(H$7:H$83))*10)</f>
        <v>7.24481392965508</v>
      </c>
      <c r="O72" s="19" t="n">
        <f aca="false">IF(I72="",0,(I72-MIN(I$7:I$83))/(MAX(I$7:I$83)-MIN(I$7:I$83))*10)</f>
        <v>3.81533101045296</v>
      </c>
      <c r="P72" s="19" t="n">
        <f aca="false">IF(K72="",5,(K72-MIN(K$7:K$83))/(MAX(K$7:K$83)-MIN(K$7:K$83))*10)</f>
        <v>5</v>
      </c>
      <c r="Q72" s="19" t="n">
        <f aca="false">IF(G72="",0,(G72-MIN(G$7:G$83))/(MAX(G$7:G$83)-MIN(G$7:G$83))*10)</f>
        <v>2.39130434782609</v>
      </c>
      <c r="R72" s="16" t="n">
        <f aca="false">N72*B$4+O72*D$4+P72*F$4+Q72*H$4</f>
        <v>4.79630435159763</v>
      </c>
      <c r="S72" s="14" t="n">
        <f aca="false">RANK(R72,R$7:R$83,0)</f>
        <v>36</v>
      </c>
    </row>
    <row r="73" customFormat="false" ht="15" hidden="false" customHeight="false" outlineLevel="0" collapsed="false">
      <c r="A73" s="6" t="n">
        <v>67</v>
      </c>
      <c r="B73" s="6" t="s">
        <v>148</v>
      </c>
      <c r="C73" s="6" t="s">
        <v>183</v>
      </c>
      <c r="D73" s="7" t="s">
        <v>162</v>
      </c>
      <c r="E73" s="7" t="s">
        <v>192</v>
      </c>
      <c r="F73" s="8" t="n">
        <v>1350000</v>
      </c>
      <c r="G73" s="7" t="n">
        <v>9</v>
      </c>
      <c r="H73" s="8" t="n">
        <v>150000</v>
      </c>
      <c r="I73" s="9" t="n">
        <v>5.57</v>
      </c>
      <c r="J73" s="7"/>
      <c r="K73" s="10"/>
      <c r="L73" s="7" t="s">
        <v>193</v>
      </c>
      <c r="M73" s="11" t="s">
        <v>30</v>
      </c>
      <c r="N73" s="12" t="n">
        <f aca="false">IF(H73="",0,(MAX(H$7:H$83)-H73)/(MAX(H$7:H$83)-MIN(H$7:H$83))*10)</f>
        <v>7.88590745912251</v>
      </c>
      <c r="O73" s="12" t="n">
        <f aca="false">IF(I73="",0,(I73-MIN(I$7:I$83))/(MAX(I$7:I$83)-MIN(I$7:I$83))*10)</f>
        <v>2.2822299651568</v>
      </c>
      <c r="P73" s="12" t="n">
        <f aca="false">IF(K73="",5,(K73-MIN(K$7:K$83))/(MAX(K$7:K$83)-MIN(K$7:K$83))*10)</f>
        <v>5</v>
      </c>
      <c r="Q73" s="12" t="n">
        <f aca="false">IF(G73="",0,(G73-MIN(G$7:G$83))/(MAX(G$7:G$83)-MIN(G$7:G$83))*10)</f>
        <v>0.652173913043478</v>
      </c>
      <c r="R73" s="9" t="n">
        <f aca="false">N73*B$4+O73*D$4+P73*F$4+Q73*H$4</f>
        <v>4.18087600989249</v>
      </c>
      <c r="S73" s="7" t="n">
        <f aca="false">RANK(R73,R$7:R$83,0)</f>
        <v>48</v>
      </c>
    </row>
    <row r="74" customFormat="false" ht="15" hidden="false" customHeight="false" outlineLevel="0" collapsed="false">
      <c r="A74" s="13" t="n">
        <v>68</v>
      </c>
      <c r="B74" s="13" t="s">
        <v>148</v>
      </c>
      <c r="C74" s="13" t="s">
        <v>183</v>
      </c>
      <c r="D74" s="14" t="s">
        <v>162</v>
      </c>
      <c r="E74" s="14" t="s">
        <v>194</v>
      </c>
      <c r="F74" s="15" t="n">
        <v>1900000</v>
      </c>
      <c r="G74" s="14" t="n">
        <v>12</v>
      </c>
      <c r="H74" s="15" t="n">
        <v>158333</v>
      </c>
      <c r="I74" s="16" t="n">
        <v>5.57</v>
      </c>
      <c r="J74" s="14"/>
      <c r="K74" s="17"/>
      <c r="L74" s="14" t="s">
        <v>195</v>
      </c>
      <c r="M74" s="18" t="s">
        <v>30</v>
      </c>
      <c r="N74" s="19" t="n">
        <f aca="false">IF(H74="",0,(MAX(H$7:H$83)-H74)/(MAX(H$7:H$83)-MIN(H$7:H$83))*10)</f>
        <v>7.71812904823554</v>
      </c>
      <c r="O74" s="19" t="n">
        <f aca="false">IF(I74="",0,(I74-MIN(I$7:I$83))/(MAX(I$7:I$83)-MIN(I$7:I$83))*10)</f>
        <v>2.2822299651568</v>
      </c>
      <c r="P74" s="19" t="n">
        <f aca="false">IF(K74="",5,(K74-MIN(K$7:K$83))/(MAX(K$7:K$83)-MIN(K$7:K$83))*10)</f>
        <v>5</v>
      </c>
      <c r="Q74" s="19" t="n">
        <f aca="false">IF(G74="",0,(G74-MIN(G$7:G$83))/(MAX(G$7:G$83)-MIN(G$7:G$83))*10)</f>
        <v>1.30434782608696</v>
      </c>
      <c r="R74" s="16" t="n">
        <f aca="false">N74*B$4+O74*D$4+P74*F$4+Q74*H$4</f>
        <v>4.26097726923509</v>
      </c>
      <c r="S74" s="14" t="n">
        <f aca="false">RANK(R74,R$7:R$83,0)</f>
        <v>44</v>
      </c>
    </row>
    <row r="75" customFormat="false" ht="15" hidden="false" customHeight="false" outlineLevel="0" collapsed="false">
      <c r="A75" s="6" t="n">
        <v>69</v>
      </c>
      <c r="B75" s="6" t="s">
        <v>148</v>
      </c>
      <c r="C75" s="6" t="s">
        <v>196</v>
      </c>
      <c r="D75" s="7" t="s">
        <v>150</v>
      </c>
      <c r="E75" s="7" t="s">
        <v>197</v>
      </c>
      <c r="F75" s="8" t="n">
        <v>1890000</v>
      </c>
      <c r="G75" s="7" t="n">
        <v>42</v>
      </c>
      <c r="H75" s="8" t="n">
        <v>45000</v>
      </c>
      <c r="I75" s="9" t="n">
        <v>6.3</v>
      </c>
      <c r="J75" s="7"/>
      <c r="K75" s="10"/>
      <c r="L75" s="7" t="s">
        <v>198</v>
      </c>
      <c r="M75" s="11" t="s">
        <v>30</v>
      </c>
      <c r="N75" s="12" t="n">
        <f aca="false">IF(H75="",0,(MAX(H$7:H$83)-H75)/(MAX(H$7:H$83)-MIN(H$7:H$83))*10)</f>
        <v>10</v>
      </c>
      <c r="O75" s="12" t="n">
        <f aca="false">IF(I75="",0,(I75-MIN(I$7:I$83))/(MAX(I$7:I$83)-MIN(I$7:I$83))*10)</f>
        <v>3.55400696864111</v>
      </c>
      <c r="P75" s="12" t="n">
        <f aca="false">IF(K75="",5,(K75-MIN(K$7:K$83))/(MAX(K$7:K$83)-MIN(K$7:K$83))*10)</f>
        <v>5</v>
      </c>
      <c r="Q75" s="12" t="n">
        <f aca="false">IF(G75="",0,(G75-MIN(G$7:G$83))/(MAX(G$7:G$83)-MIN(G$7:G$83))*10)</f>
        <v>7.82608695652174</v>
      </c>
      <c r="R75" s="9" t="n">
        <f aca="false">N75*B$4+O75*D$4+P75*F$4+Q75*H$4</f>
        <v>6.63141948189668</v>
      </c>
      <c r="S75" s="7" t="n">
        <f aca="false">RANK(R75,R$7:R$83,0)</f>
        <v>16</v>
      </c>
    </row>
    <row r="76" customFormat="false" ht="15" hidden="false" customHeight="false" outlineLevel="0" collapsed="false">
      <c r="A76" s="13" t="n">
        <v>70</v>
      </c>
      <c r="B76" s="13" t="s">
        <v>148</v>
      </c>
      <c r="C76" s="13" t="s">
        <v>196</v>
      </c>
      <c r="D76" s="14" t="s">
        <v>150</v>
      </c>
      <c r="E76" s="14" t="s">
        <v>199</v>
      </c>
      <c r="F76" s="15" t="n">
        <v>1100000</v>
      </c>
      <c r="G76" s="14" t="n">
        <v>7</v>
      </c>
      <c r="H76" s="15" t="n">
        <v>157143</v>
      </c>
      <c r="I76" s="16"/>
      <c r="J76" s="14"/>
      <c r="K76" s="17"/>
      <c r="L76" s="14" t="s">
        <v>200</v>
      </c>
      <c r="M76" s="18" t="s">
        <v>30</v>
      </c>
      <c r="N76" s="19" t="n">
        <f aca="false">IF(H76="",0,(MAX(H$7:H$83)-H76)/(MAX(H$7:H$83)-MIN(H$7:H$83))*10)</f>
        <v>7.74208876369882</v>
      </c>
      <c r="O76" s="19" t="n">
        <f aca="false">IF(I76="",0,(I76-MIN(I$7:I$83))/(MAX(I$7:I$83)-MIN(I$7:I$83))*10)</f>
        <v>0</v>
      </c>
      <c r="P76" s="19" t="n">
        <f aca="false">IF(K76="",5,(K76-MIN(K$7:K$83))/(MAX(K$7:K$83)-MIN(K$7:K$83))*10)</f>
        <v>5</v>
      </c>
      <c r="Q76" s="19" t="n">
        <f aca="false">IF(G76="",0,(G76-MIN(G$7:G$83))/(MAX(G$7:G$83)-MIN(G$7:G$83))*10)</f>
        <v>0.217391304347826</v>
      </c>
      <c r="R76" s="16" t="n">
        <f aca="false">N76*B$4+O76*D$4+P76*F$4+Q76*H$4</f>
        <v>3.36610488997921</v>
      </c>
      <c r="S76" s="14" t="n">
        <f aca="false">RANK(R76,R$7:R$83,0)</f>
        <v>68</v>
      </c>
    </row>
    <row r="77" customFormat="false" ht="15" hidden="false" customHeight="false" outlineLevel="0" collapsed="false">
      <c r="A77" s="6" t="n">
        <v>71</v>
      </c>
      <c r="B77" s="6" t="s">
        <v>148</v>
      </c>
      <c r="C77" s="6" t="s">
        <v>196</v>
      </c>
      <c r="D77" s="7" t="s">
        <v>150</v>
      </c>
      <c r="E77" s="7" t="s">
        <v>201</v>
      </c>
      <c r="F77" s="8" t="n">
        <v>4800000</v>
      </c>
      <c r="G77" s="7" t="n">
        <v>33</v>
      </c>
      <c r="H77" s="8" t="n">
        <v>145455</v>
      </c>
      <c r="I77" s="9"/>
      <c r="J77" s="7" t="n">
        <v>1975</v>
      </c>
      <c r="K77" s="10" t="n">
        <v>94</v>
      </c>
      <c r="L77" s="7" t="s">
        <v>202</v>
      </c>
      <c r="M77" s="11" t="s">
        <v>30</v>
      </c>
      <c r="N77" s="12" t="n">
        <f aca="false">IF(H77="",0,(MAX(H$7:H$83)-H77)/(MAX(H$7:H$83)-MIN(H$7:H$83))*10)</f>
        <v>7.97741746482049</v>
      </c>
      <c r="O77" s="12" t="n">
        <f aca="false">IF(I77="",0,(I77-MIN(I$7:I$83))/(MAX(I$7:I$83)-MIN(I$7:I$83))*10)</f>
        <v>0</v>
      </c>
      <c r="P77" s="12" t="n">
        <f aca="false">IF(K77="",5,(K77-MIN(K$7:K$83))/(MAX(K$7:K$83)-MIN(K$7:K$83))*10)</f>
        <v>6.47058823529412</v>
      </c>
      <c r="Q77" s="12" t="n">
        <f aca="false">IF(G77="",0,(G77-MIN(G$7:G$83))/(MAX(G$7:G$83)-MIN(G$7:G$83))*10)</f>
        <v>5.86956521739131</v>
      </c>
      <c r="R77" s="9" t="n">
        <f aca="false">N77*B$4+O77*D$4+P77*F$4+Q77*H$4</f>
        <v>4.86125592998323</v>
      </c>
      <c r="S77" s="7" t="n">
        <f aca="false">RANK(R77,R$7:R$83,0)</f>
        <v>34</v>
      </c>
    </row>
    <row r="78" customFormat="false" ht="15" hidden="false" customHeight="false" outlineLevel="0" collapsed="false">
      <c r="A78" s="13" t="n">
        <v>72</v>
      </c>
      <c r="B78" s="13" t="s">
        <v>148</v>
      </c>
      <c r="C78" s="13" t="s">
        <v>203</v>
      </c>
      <c r="D78" s="14" t="s">
        <v>150</v>
      </c>
      <c r="E78" s="14" t="s">
        <v>204</v>
      </c>
      <c r="F78" s="15" t="n">
        <v>3375000</v>
      </c>
      <c r="G78" s="14" t="n">
        <v>18</v>
      </c>
      <c r="H78" s="15" t="n">
        <v>187500</v>
      </c>
      <c r="I78" s="16"/>
      <c r="J78" s="14" t="n">
        <v>1984</v>
      </c>
      <c r="K78" s="17"/>
      <c r="L78" s="14" t="s">
        <v>205</v>
      </c>
      <c r="M78" s="18" t="s">
        <v>30</v>
      </c>
      <c r="N78" s="19" t="n">
        <f aca="false">IF(H78="",0,(MAX(H$7:H$83)-H78)/(MAX(H$7:H$83)-MIN(H$7:H$83))*10)</f>
        <v>7.13087440880912</v>
      </c>
      <c r="O78" s="19" t="n">
        <f aca="false">IF(I78="",0,(I78-MIN(I$7:I$83))/(MAX(I$7:I$83)-MIN(I$7:I$83))*10)</f>
        <v>0</v>
      </c>
      <c r="P78" s="19" t="n">
        <f aca="false">IF(K78="",5,(K78-MIN(K$7:K$83))/(MAX(K$7:K$83)-MIN(K$7:K$83))*10)</f>
        <v>5</v>
      </c>
      <c r="Q78" s="19" t="n">
        <f aca="false">IF(G78="",0,(G78-MIN(G$7:G$83))/(MAX(G$7:G$83)-MIN(G$7:G$83))*10)</f>
        <v>2.60869565217391</v>
      </c>
      <c r="R78" s="16" t="n">
        <f aca="false">N78*B$4+O78*D$4+P78*F$4+Q78*H$4</f>
        <v>3.66100145307752</v>
      </c>
      <c r="S78" s="14" t="n">
        <f aca="false">RANK(R78,R$7:R$83,0)</f>
        <v>59</v>
      </c>
    </row>
    <row r="79" customFormat="false" ht="15" hidden="false" customHeight="false" outlineLevel="0" collapsed="false">
      <c r="A79" s="6" t="n">
        <v>73</v>
      </c>
      <c r="B79" s="6" t="s">
        <v>148</v>
      </c>
      <c r="C79" s="6" t="s">
        <v>203</v>
      </c>
      <c r="D79" s="7" t="s">
        <v>150</v>
      </c>
      <c r="E79" s="7" t="s">
        <v>206</v>
      </c>
      <c r="F79" s="8" t="n">
        <v>1750000</v>
      </c>
      <c r="G79" s="7" t="n">
        <v>10</v>
      </c>
      <c r="H79" s="8" t="n">
        <v>175000</v>
      </c>
      <c r="I79" s="9"/>
      <c r="J79" s="7" t="n">
        <v>1978</v>
      </c>
      <c r="K79" s="10"/>
      <c r="L79" s="7" t="s">
        <v>207</v>
      </c>
      <c r="M79" s="11" t="s">
        <v>30</v>
      </c>
      <c r="N79" s="12" t="n">
        <f aca="false">IF(H79="",0,(MAX(H$7:H$83)-H79)/(MAX(H$7:H$83)-MIN(H$7:H$83))*10)</f>
        <v>7.38255209224692</v>
      </c>
      <c r="O79" s="12" t="n">
        <f aca="false">IF(I79="",0,(I79-MIN(I$7:I$83))/(MAX(I$7:I$83)-MIN(I$7:I$83))*10)</f>
        <v>0</v>
      </c>
      <c r="P79" s="12" t="n">
        <f aca="false">IF(K79="",5,(K79-MIN(K$7:K$83))/(MAX(K$7:K$83)-MIN(K$7:K$83))*10)</f>
        <v>5</v>
      </c>
      <c r="Q79" s="12" t="n">
        <f aca="false">IF(G79="",0,(G79-MIN(G$7:G$83))/(MAX(G$7:G$83)-MIN(G$7:G$83))*10)</f>
        <v>0.869565217391304</v>
      </c>
      <c r="R79" s="9" t="n">
        <f aca="false">N79*B$4+O79*D$4+P79*F$4+Q79*H$4</f>
        <v>3.38867867115234</v>
      </c>
      <c r="S79" s="7" t="n">
        <f aca="false">RANK(R79,R$7:R$83,0)</f>
        <v>66</v>
      </c>
    </row>
    <row r="80" customFormat="false" ht="15" hidden="false" customHeight="false" outlineLevel="0" collapsed="false">
      <c r="A80" s="13" t="n">
        <v>74</v>
      </c>
      <c r="B80" s="13" t="s">
        <v>148</v>
      </c>
      <c r="C80" s="13" t="s">
        <v>208</v>
      </c>
      <c r="D80" s="14" t="s">
        <v>139</v>
      </c>
      <c r="E80" s="14" t="s">
        <v>209</v>
      </c>
      <c r="F80" s="15" t="n">
        <v>2049000</v>
      </c>
      <c r="G80" s="14" t="n">
        <v>12</v>
      </c>
      <c r="H80" s="15" t="n">
        <v>170750</v>
      </c>
      <c r="I80" s="16" t="n">
        <v>6</v>
      </c>
      <c r="J80" s="14" t="n">
        <v>1995</v>
      </c>
      <c r="K80" s="17" t="n">
        <v>98</v>
      </c>
      <c r="L80" s="14" t="s">
        <v>210</v>
      </c>
      <c r="M80" s="18" t="s">
        <v>30</v>
      </c>
      <c r="N80" s="19" t="n">
        <f aca="false">IF(H80="",0,(MAX(H$7:H$83)-H80)/(MAX(H$7:H$83)-MIN(H$7:H$83))*10)</f>
        <v>7.46812250461577</v>
      </c>
      <c r="O80" s="19" t="n">
        <f aca="false">IF(I80="",0,(I80-MIN(I$7:I$83))/(MAX(I$7:I$83)-MIN(I$7:I$83))*10)</f>
        <v>3.03135888501742</v>
      </c>
      <c r="P80" s="19" t="n">
        <f aca="false">IF(K80="",5,(K80-MIN(K$7:K$83))/(MAX(K$7:K$83)-MIN(K$7:K$83))*10)</f>
        <v>8.82352941176471</v>
      </c>
      <c r="Q80" s="19" t="n">
        <f aca="false">IF(G80="",0,(G80-MIN(G$7:G$83))/(MAX(G$7:G$83)-MIN(G$7:G$83))*10)</f>
        <v>1.30434782608696</v>
      </c>
      <c r="R80" s="16" t="n">
        <f aca="false">N80*B$4+O80*D$4+P80*F$4+Q80*H$4</f>
        <v>5.17541986446029</v>
      </c>
      <c r="S80" s="14" t="n">
        <f aca="false">RANK(R80,R$7:R$83,0)</f>
        <v>30</v>
      </c>
    </row>
    <row r="81" customFormat="false" ht="15" hidden="false" customHeight="false" outlineLevel="0" collapsed="false">
      <c r="A81" s="6" t="n">
        <v>75</v>
      </c>
      <c r="B81" s="6" t="s">
        <v>148</v>
      </c>
      <c r="C81" s="6" t="s">
        <v>211</v>
      </c>
      <c r="D81" s="7" t="s">
        <v>143</v>
      </c>
      <c r="E81" s="7" t="s">
        <v>212</v>
      </c>
      <c r="F81" s="8" t="n">
        <v>3650000</v>
      </c>
      <c r="G81" s="7" t="n">
        <v>52</v>
      </c>
      <c r="H81" s="8" t="n">
        <v>70192</v>
      </c>
      <c r="I81" s="9" t="n">
        <v>8.33</v>
      </c>
      <c r="J81" s="7"/>
      <c r="K81" s="10" t="n">
        <v>91</v>
      </c>
      <c r="L81" s="7" t="s">
        <v>213</v>
      </c>
      <c r="M81" s="11" t="s">
        <v>30</v>
      </c>
      <c r="N81" s="12" t="n">
        <f aca="false">IF(H81="",0,(MAX(H$7:H$83)-H81)/(MAX(H$7:H$83)-MIN(H$7:H$83))*10)</f>
        <v>9.4927788639068</v>
      </c>
      <c r="O81" s="12" t="n">
        <f aca="false">IF(I81="",0,(I81-MIN(I$7:I$83))/(MAX(I$7:I$83)-MIN(I$7:I$83))*10)</f>
        <v>7.09059233449477</v>
      </c>
      <c r="P81" s="12" t="n">
        <f aca="false">IF(K81="",5,(K81-MIN(K$7:K$83))/(MAX(K$7:K$83)-MIN(K$7:K$83))*10)</f>
        <v>4.70588235294118</v>
      </c>
      <c r="Q81" s="12" t="n">
        <f aca="false">IF(G81="",0,(G81-MIN(G$7:G$83))/(MAX(G$7:G$83)-MIN(G$7:G$83))*10)</f>
        <v>10</v>
      </c>
      <c r="R81" s="9" t="n">
        <f aca="false">N81*B$4+O81*D$4+P81*F$4+Q81*H$4</f>
        <v>7.91618783010871</v>
      </c>
      <c r="S81" s="7" t="n">
        <f aca="false">RANK(R81,R$7:R$83,0)</f>
        <v>3</v>
      </c>
    </row>
    <row r="82" customFormat="false" ht="15" hidden="false" customHeight="false" outlineLevel="0" collapsed="false">
      <c r="A82" s="13" t="n">
        <v>76</v>
      </c>
      <c r="B82" s="13" t="s">
        <v>148</v>
      </c>
      <c r="C82" s="13" t="s">
        <v>211</v>
      </c>
      <c r="D82" s="14" t="s">
        <v>143</v>
      </c>
      <c r="E82" s="14" t="s">
        <v>214</v>
      </c>
      <c r="F82" s="15" t="n">
        <v>1000000</v>
      </c>
      <c r="G82" s="14" t="n">
        <v>14</v>
      </c>
      <c r="H82" s="15" t="n">
        <v>71429</v>
      </c>
      <c r="I82" s="16"/>
      <c r="J82" s="14"/>
      <c r="K82" s="17"/>
      <c r="L82" s="14" t="s">
        <v>215</v>
      </c>
      <c r="M82" s="18" t="s">
        <v>30</v>
      </c>
      <c r="N82" s="19" t="n">
        <f aca="false">IF(H82="",0,(MAX(H$7:H$83)-H82)/(MAX(H$7:H$83)-MIN(H$7:H$83))*10)</f>
        <v>9.4678728403538</v>
      </c>
      <c r="O82" s="19" t="n">
        <f aca="false">IF(I82="",0,(I82-MIN(I$7:I$83))/(MAX(I$7:I$83)-MIN(I$7:I$83))*10)</f>
        <v>0</v>
      </c>
      <c r="P82" s="19" t="n">
        <f aca="false">IF(K82="",5,(K82-MIN(K$7:K$83))/(MAX(K$7:K$83)-MIN(K$7:K$83))*10)</f>
        <v>5</v>
      </c>
      <c r="Q82" s="19" t="n">
        <f aca="false">IF(G82="",0,(G82-MIN(G$7:G$83))/(MAX(G$7:G$83)-MIN(G$7:G$83))*10)</f>
        <v>1.73913043478261</v>
      </c>
      <c r="R82" s="16" t="n">
        <f aca="false">N82*B$4+O82*D$4+P82*F$4+Q82*H$4</f>
        <v>4.18818793906266</v>
      </c>
      <c r="S82" s="14" t="n">
        <f aca="false">RANK(R82,R$7:R$83,0)</f>
        <v>47</v>
      </c>
    </row>
    <row r="83" customFormat="false" ht="15" hidden="false" customHeight="false" outlineLevel="0" collapsed="false">
      <c r="A83" s="6" t="n">
        <v>77</v>
      </c>
      <c r="B83" s="6" t="s">
        <v>148</v>
      </c>
      <c r="C83" s="6" t="s">
        <v>211</v>
      </c>
      <c r="D83" s="7" t="s">
        <v>143</v>
      </c>
      <c r="E83" s="7" t="s">
        <v>216</v>
      </c>
      <c r="F83" s="8" t="n">
        <v>2775000</v>
      </c>
      <c r="G83" s="7" t="n">
        <v>40</v>
      </c>
      <c r="H83" s="8" t="n">
        <v>69375</v>
      </c>
      <c r="I83" s="9" t="n">
        <v>6.76</v>
      </c>
      <c r="J83" s="7"/>
      <c r="K83" s="10"/>
      <c r="L83" s="7" t="s">
        <v>217</v>
      </c>
      <c r="M83" s="11" t="s">
        <v>30</v>
      </c>
      <c r="N83" s="12" t="n">
        <f aca="false">IF(H83="",0,(MAX(H$7:H$83)-H83)/(MAX(H$7:H$83)-MIN(H$7:H$83))*10)</f>
        <v>9.5092285172963</v>
      </c>
      <c r="O83" s="12" t="n">
        <f aca="false">IF(I83="",0,(I83-MIN(I$7:I$83))/(MAX(I$7:I$83)-MIN(I$7:I$83))*10)</f>
        <v>4.35540069686411</v>
      </c>
      <c r="P83" s="12" t="n">
        <f aca="false">IF(K83="",5,(K83-MIN(K$7:K$83))/(MAX(K$7:K$83)-MIN(K$7:K$83))*10)</f>
        <v>5</v>
      </c>
      <c r="Q83" s="12" t="n">
        <f aca="false">IF(G83="",0,(G83-MIN(G$7:G$83))/(MAX(G$7:G$83)-MIN(G$7:G$83))*10)</f>
        <v>7.39130434782609</v>
      </c>
      <c r="R83" s="9" t="n">
        <f aca="false">N83*B$4+O83*D$4+P83*F$4+Q83*H$4</f>
        <v>6.63764963381334</v>
      </c>
      <c r="S83" s="7" t="n">
        <f aca="false">RANK(R83,R$7:R$83,0)</f>
        <v>15</v>
      </c>
    </row>
  </sheetData>
  <autoFilter ref="A6:S83"/>
  <mergeCells count="1">
    <mergeCell ref="A1:N1"/>
  </mergeCells>
  <hyperlinks>
    <hyperlink ref="M7" r:id="rId1" display="Link"/>
    <hyperlink ref="M8" r:id="rId2" display="Link"/>
    <hyperlink ref="M9" r:id="rId3" display="Link"/>
    <hyperlink ref="M10" r:id="rId4" display="Link"/>
    <hyperlink ref="M11" r:id="rId5" display="Link"/>
    <hyperlink ref="M12" r:id="rId6" display="Link"/>
    <hyperlink ref="M13" r:id="rId7" display="Link"/>
    <hyperlink ref="M14" r:id="rId8" display="Link"/>
    <hyperlink ref="M15" r:id="rId9" display="Link"/>
    <hyperlink ref="M16" r:id="rId10" display="Link"/>
    <hyperlink ref="M17" r:id="rId11" display="Link"/>
    <hyperlink ref="M18" r:id="rId12" display="Link"/>
    <hyperlink ref="M19" r:id="rId13" display="Link"/>
    <hyperlink ref="M20" r:id="rId14" display="Link"/>
    <hyperlink ref="M21" r:id="rId15" display="Link"/>
    <hyperlink ref="M22" r:id="rId16" display="Link"/>
    <hyperlink ref="M23" r:id="rId17" display="Link"/>
    <hyperlink ref="M24" r:id="rId18" display="Link"/>
    <hyperlink ref="M25" r:id="rId19" display="Link"/>
    <hyperlink ref="M26" r:id="rId20" display="Link"/>
    <hyperlink ref="M27" r:id="rId21" display="Link"/>
    <hyperlink ref="M28" r:id="rId22" display="Link"/>
    <hyperlink ref="M29" r:id="rId23" display="Link"/>
    <hyperlink ref="M30" r:id="rId24" display="Link"/>
    <hyperlink ref="M31" r:id="rId25" display="Link"/>
    <hyperlink ref="M32" r:id="rId26" display="Link"/>
    <hyperlink ref="M33" r:id="rId27" display="Link"/>
    <hyperlink ref="M34" r:id="rId28" display="Link"/>
    <hyperlink ref="M35" r:id="rId29" display="Link"/>
    <hyperlink ref="M36" r:id="rId30" display="Link"/>
    <hyperlink ref="M37" r:id="rId31" display="Link"/>
    <hyperlink ref="M38" r:id="rId32" display="Link"/>
    <hyperlink ref="M39" r:id="rId33" display="Link"/>
    <hyperlink ref="M40" r:id="rId34" display="Link"/>
    <hyperlink ref="M41" r:id="rId35" display="Link"/>
    <hyperlink ref="M42" r:id="rId36" display="Link"/>
    <hyperlink ref="M43" r:id="rId37" display="Link"/>
    <hyperlink ref="M44" r:id="rId38" display="Link"/>
    <hyperlink ref="M45" r:id="rId39" display="Link"/>
    <hyperlink ref="M46" r:id="rId40" display="Link"/>
    <hyperlink ref="M47" r:id="rId41" display="Link"/>
    <hyperlink ref="M48" r:id="rId42" display="Link"/>
    <hyperlink ref="M49" r:id="rId43" display="Link"/>
    <hyperlink ref="M50" r:id="rId44" display="Link"/>
    <hyperlink ref="M51" r:id="rId45" display="Link"/>
    <hyperlink ref="M52" r:id="rId46" display="Link"/>
    <hyperlink ref="M53" r:id="rId47" display="Link"/>
    <hyperlink ref="M54" r:id="rId48" display="Link"/>
    <hyperlink ref="M55" r:id="rId49" display="Link"/>
    <hyperlink ref="M56" r:id="rId50" display="Link"/>
    <hyperlink ref="M57" r:id="rId51" display="Link"/>
    <hyperlink ref="M58" r:id="rId52" display="Link"/>
    <hyperlink ref="M59" r:id="rId53" display="Link"/>
    <hyperlink ref="M60" r:id="rId54" display="Link"/>
    <hyperlink ref="M61" r:id="rId55" display="Link"/>
    <hyperlink ref="M62" r:id="rId56" display="Link"/>
    <hyperlink ref="M63" r:id="rId57" display="Link"/>
    <hyperlink ref="M64" r:id="rId58" display="Link"/>
    <hyperlink ref="M65" r:id="rId59" display="Link"/>
    <hyperlink ref="M66" r:id="rId60" display="Link"/>
    <hyperlink ref="M67" r:id="rId61" display="Link"/>
    <hyperlink ref="M68" r:id="rId62" display="Link"/>
    <hyperlink ref="M69" r:id="rId63" display="Link"/>
    <hyperlink ref="M70" r:id="rId64" display="Link"/>
    <hyperlink ref="M71" r:id="rId65" display="Link"/>
    <hyperlink ref="M72" r:id="rId66" display="Link"/>
    <hyperlink ref="M73" r:id="rId67" display="Link"/>
    <hyperlink ref="M74" r:id="rId68" display="Link"/>
    <hyperlink ref="M75" r:id="rId69" display="Link"/>
    <hyperlink ref="M76" r:id="rId70" display="Link"/>
    <hyperlink ref="M77" r:id="rId71" display="Link"/>
    <hyperlink ref="M78" r:id="rId72" display="Link"/>
    <hyperlink ref="M79" r:id="rId73" display="Link"/>
    <hyperlink ref="M80" r:id="rId74" display="Link"/>
    <hyperlink ref="M81" r:id="rId75" display="Link"/>
    <hyperlink ref="M82" r:id="rId76" display="Link"/>
    <hyperlink ref="M83" r:id="rId77" display="Lin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C4D22"/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5"/>
    <col collapsed="false" customWidth="true" hidden="false" outlineLevel="0" max="7" min="4" style="0" width="10"/>
    <col collapsed="false" customWidth="true" hidden="false" outlineLevel="0" max="8" min="8" style="0" width="12"/>
    <col collapsed="false" customWidth="true" hidden="false" outlineLevel="0" max="9" min="9" style="0" width="32"/>
    <col collapsed="false" customWidth="true" hidden="false" outlineLevel="0" max="10" min="10" style="0" width="6"/>
  </cols>
  <sheetData>
    <row r="1" customFormat="false" ht="17.35" hidden="false" customHeight="false" outlineLevel="0" collapsed="false">
      <c r="A1" s="1" t="s">
        <v>218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57.45" hidden="false" customHeight="false" outlineLevel="0" collapsed="false">
      <c r="A3" s="5" t="s">
        <v>219</v>
      </c>
      <c r="B3" s="5" t="s">
        <v>9</v>
      </c>
      <c r="C3" s="5" t="s">
        <v>7</v>
      </c>
      <c r="D3" s="5" t="s">
        <v>220</v>
      </c>
      <c r="E3" s="5" t="s">
        <v>221</v>
      </c>
      <c r="F3" s="5" t="s">
        <v>222</v>
      </c>
      <c r="G3" s="5" t="s">
        <v>223</v>
      </c>
      <c r="H3" s="5" t="s">
        <v>224</v>
      </c>
      <c r="I3" s="5" t="s">
        <v>225</v>
      </c>
      <c r="J3" s="5" t="s">
        <v>30</v>
      </c>
    </row>
    <row r="4" customFormat="false" ht="15" hidden="false" customHeight="false" outlineLevel="0" collapsed="false">
      <c r="A4" s="6" t="s">
        <v>26</v>
      </c>
      <c r="B4" s="6" t="s">
        <v>27</v>
      </c>
      <c r="C4" s="6" t="s">
        <v>25</v>
      </c>
      <c r="D4" s="7" t="n">
        <v>5</v>
      </c>
      <c r="E4" s="8" t="n">
        <v>89578</v>
      </c>
      <c r="F4" s="9" t="n">
        <v>8.13</v>
      </c>
      <c r="G4" s="8" t="n">
        <v>50694</v>
      </c>
      <c r="H4" s="7" t="s">
        <v>226</v>
      </c>
      <c r="I4" s="7" t="s">
        <v>227</v>
      </c>
      <c r="J4" s="11" t="s">
        <v>30</v>
      </c>
    </row>
    <row r="5" customFormat="false" ht="15" hidden="false" customHeight="false" outlineLevel="0" collapsed="false">
      <c r="A5" s="13" t="s">
        <v>39</v>
      </c>
      <c r="B5" s="13" t="s">
        <v>40</v>
      </c>
      <c r="C5" s="13" t="s">
        <v>25</v>
      </c>
      <c r="D5" s="14" t="n">
        <v>5</v>
      </c>
      <c r="E5" s="15" t="n">
        <v>57335</v>
      </c>
      <c r="F5" s="16" t="n">
        <v>9.54</v>
      </c>
      <c r="G5" s="15" t="n">
        <v>47500</v>
      </c>
      <c r="H5" s="14" t="s">
        <v>226</v>
      </c>
      <c r="I5" s="14" t="s">
        <v>228</v>
      </c>
      <c r="J5" s="18" t="s">
        <v>30</v>
      </c>
    </row>
    <row r="6" customFormat="false" ht="15" hidden="false" customHeight="false" outlineLevel="0" collapsed="false">
      <c r="A6" s="6" t="s">
        <v>51</v>
      </c>
      <c r="B6" s="6" t="s">
        <v>40</v>
      </c>
      <c r="C6" s="6" t="s">
        <v>25</v>
      </c>
      <c r="D6" s="7" t="n">
        <v>1</v>
      </c>
      <c r="E6" s="8" t="n">
        <v>45238</v>
      </c>
      <c r="F6" s="9" t="n">
        <v>6.4</v>
      </c>
      <c r="G6" s="8" t="n">
        <v>45238</v>
      </c>
      <c r="H6" s="7" t="s">
        <v>226</v>
      </c>
      <c r="I6" s="7" t="s">
        <v>229</v>
      </c>
      <c r="J6" s="11" t="s">
        <v>30</v>
      </c>
    </row>
    <row r="7" customFormat="false" ht="15" hidden="false" customHeight="false" outlineLevel="0" collapsed="false">
      <c r="A7" s="13" t="s">
        <v>54</v>
      </c>
      <c r="B7" s="13" t="s">
        <v>40</v>
      </c>
      <c r="C7" s="13" t="s">
        <v>25</v>
      </c>
      <c r="D7" s="14" t="n">
        <v>2</v>
      </c>
      <c r="E7" s="15" t="n">
        <v>68171</v>
      </c>
      <c r="F7" s="16" t="n">
        <v>8.99</v>
      </c>
      <c r="G7" s="15" t="n">
        <v>59524</v>
      </c>
      <c r="H7" s="14" t="s">
        <v>226</v>
      </c>
      <c r="I7" s="14" t="s">
        <v>230</v>
      </c>
      <c r="J7" s="18" t="s">
        <v>30</v>
      </c>
    </row>
    <row r="8" customFormat="false" ht="15" hidden="false" customHeight="false" outlineLevel="0" collapsed="false">
      <c r="A8" s="6" t="s">
        <v>59</v>
      </c>
      <c r="B8" s="6" t="s">
        <v>60</v>
      </c>
      <c r="C8" s="6" t="s">
        <v>25</v>
      </c>
      <c r="D8" s="7" t="n">
        <v>3</v>
      </c>
      <c r="E8" s="8" t="n">
        <v>104399</v>
      </c>
      <c r="F8" s="9"/>
      <c r="G8" s="8" t="n">
        <v>79063</v>
      </c>
      <c r="H8" s="7" t="s">
        <v>226</v>
      </c>
      <c r="I8" s="7" t="s">
        <v>231</v>
      </c>
      <c r="J8" s="11" t="s">
        <v>30</v>
      </c>
    </row>
    <row r="9" customFormat="false" ht="15" hidden="false" customHeight="false" outlineLevel="0" collapsed="false">
      <c r="A9" s="13" t="s">
        <v>67</v>
      </c>
      <c r="B9" s="13" t="s">
        <v>68</v>
      </c>
      <c r="C9" s="13" t="s">
        <v>25</v>
      </c>
      <c r="D9" s="14" t="n">
        <v>3</v>
      </c>
      <c r="E9" s="15" t="n">
        <v>61584</v>
      </c>
      <c r="F9" s="16" t="n">
        <v>9.78</v>
      </c>
      <c r="G9" s="15" t="n">
        <v>56522</v>
      </c>
      <c r="H9" s="14" t="s">
        <v>226</v>
      </c>
      <c r="I9" s="14" t="s">
        <v>232</v>
      </c>
      <c r="J9" s="18" t="s">
        <v>30</v>
      </c>
    </row>
    <row r="10" customFormat="false" ht="15" hidden="false" customHeight="false" outlineLevel="0" collapsed="false">
      <c r="A10" s="6" t="s">
        <v>75</v>
      </c>
      <c r="B10" s="6" t="s">
        <v>76</v>
      </c>
      <c r="C10" s="6" t="s">
        <v>25</v>
      </c>
      <c r="D10" s="7" t="n">
        <v>1</v>
      </c>
      <c r="E10" s="8" t="n">
        <v>62188</v>
      </c>
      <c r="F10" s="9" t="n">
        <v>8.46</v>
      </c>
      <c r="G10" s="8" t="n">
        <v>62188</v>
      </c>
      <c r="H10" s="7" t="s">
        <v>226</v>
      </c>
      <c r="I10" s="7" t="s">
        <v>233</v>
      </c>
      <c r="J10" s="11" t="s">
        <v>30</v>
      </c>
    </row>
    <row r="11" customFormat="false" ht="15" hidden="false" customHeight="false" outlineLevel="0" collapsed="false">
      <c r="A11" s="13" t="s">
        <v>80</v>
      </c>
      <c r="B11" s="13" t="s">
        <v>81</v>
      </c>
      <c r="C11" s="13" t="s">
        <v>79</v>
      </c>
      <c r="D11" s="14" t="n">
        <v>4</v>
      </c>
      <c r="E11" s="15" t="n">
        <v>222054</v>
      </c>
      <c r="F11" s="16" t="n">
        <v>6</v>
      </c>
      <c r="G11" s="15" t="n">
        <v>84375</v>
      </c>
      <c r="H11" s="14" t="s">
        <v>226</v>
      </c>
      <c r="I11" s="14" t="s">
        <v>234</v>
      </c>
      <c r="J11" s="18" t="s">
        <v>30</v>
      </c>
    </row>
    <row r="12" customFormat="false" ht="15" hidden="false" customHeight="false" outlineLevel="0" collapsed="false">
      <c r="A12" s="6" t="s">
        <v>90</v>
      </c>
      <c r="B12" s="6" t="s">
        <v>81</v>
      </c>
      <c r="C12" s="6" t="s">
        <v>79</v>
      </c>
      <c r="D12" s="7" t="n">
        <v>4</v>
      </c>
      <c r="E12" s="8" t="n">
        <v>122772</v>
      </c>
      <c r="F12" s="9" t="n">
        <v>6.67</v>
      </c>
      <c r="G12" s="8" t="n">
        <v>83333</v>
      </c>
      <c r="H12" s="7" t="s">
        <v>226</v>
      </c>
      <c r="I12" s="7" t="s">
        <v>235</v>
      </c>
      <c r="J12" s="11" t="s">
        <v>30</v>
      </c>
    </row>
    <row r="13" customFormat="false" ht="23.85" hidden="false" customHeight="false" outlineLevel="0" collapsed="false">
      <c r="A13" s="13" t="s">
        <v>99</v>
      </c>
      <c r="B13" s="13" t="s">
        <v>100</v>
      </c>
      <c r="C13" s="13" t="s">
        <v>79</v>
      </c>
      <c r="D13" s="14" t="n">
        <v>2</v>
      </c>
      <c r="E13" s="15"/>
      <c r="F13" s="16"/>
      <c r="G13" s="15"/>
      <c r="H13" s="14" t="s">
        <v>236</v>
      </c>
      <c r="I13" s="14" t="s">
        <v>237</v>
      </c>
      <c r="J13" s="18" t="s">
        <v>30</v>
      </c>
    </row>
    <row r="14" customFormat="false" ht="15" hidden="false" customHeight="false" outlineLevel="0" collapsed="false">
      <c r="A14" s="6" t="s">
        <v>105</v>
      </c>
      <c r="B14" s="6" t="s">
        <v>106</v>
      </c>
      <c r="C14" s="6" t="s">
        <v>79</v>
      </c>
      <c r="D14" s="7" t="n">
        <v>3</v>
      </c>
      <c r="E14" s="8" t="n">
        <v>133457</v>
      </c>
      <c r="F14" s="9" t="n">
        <v>7.53</v>
      </c>
      <c r="G14" s="8" t="n">
        <v>115556</v>
      </c>
      <c r="H14" s="7" t="s">
        <v>226</v>
      </c>
      <c r="I14" s="7" t="s">
        <v>238</v>
      </c>
      <c r="J14" s="11" t="s">
        <v>30</v>
      </c>
    </row>
    <row r="15" customFormat="false" ht="15" hidden="false" customHeight="false" outlineLevel="0" collapsed="false">
      <c r="A15" s="13" t="s">
        <v>113</v>
      </c>
      <c r="B15" s="13" t="s">
        <v>100</v>
      </c>
      <c r="C15" s="13" t="s">
        <v>79</v>
      </c>
      <c r="D15" s="14" t="n">
        <v>3</v>
      </c>
      <c r="E15" s="15" t="n">
        <v>139318</v>
      </c>
      <c r="F15" s="16" t="n">
        <v>7.97</v>
      </c>
      <c r="G15" s="15" t="n">
        <v>117391</v>
      </c>
      <c r="H15" s="14" t="s">
        <v>226</v>
      </c>
      <c r="I15" s="14" t="s">
        <v>116</v>
      </c>
      <c r="J15" s="18" t="s">
        <v>30</v>
      </c>
    </row>
    <row r="16" customFormat="false" ht="15" hidden="false" customHeight="false" outlineLevel="0" collapsed="false">
      <c r="A16" s="6" t="s">
        <v>120</v>
      </c>
      <c r="B16" s="6" t="s">
        <v>121</v>
      </c>
      <c r="C16" s="6" t="s">
        <v>79</v>
      </c>
      <c r="D16" s="7" t="n">
        <v>1</v>
      </c>
      <c r="E16" s="8" t="n">
        <v>185417</v>
      </c>
      <c r="F16" s="9" t="n">
        <v>9.17</v>
      </c>
      <c r="G16" s="8" t="n">
        <v>185417</v>
      </c>
      <c r="H16" s="7" t="s">
        <v>239</v>
      </c>
      <c r="I16" s="7" t="s">
        <v>240</v>
      </c>
      <c r="J16" s="11" t="s">
        <v>30</v>
      </c>
    </row>
    <row r="17" customFormat="false" ht="15" hidden="false" customHeight="false" outlineLevel="0" collapsed="false">
      <c r="A17" s="13" t="s">
        <v>124</v>
      </c>
      <c r="B17" s="13" t="s">
        <v>125</v>
      </c>
      <c r="C17" s="13" t="s">
        <v>79</v>
      </c>
      <c r="D17" s="14" t="n">
        <v>6</v>
      </c>
      <c r="E17" s="15" t="n">
        <v>71177</v>
      </c>
      <c r="F17" s="16" t="n">
        <v>7.74</v>
      </c>
      <c r="G17" s="15" t="n">
        <v>49583</v>
      </c>
      <c r="H17" s="14" t="s">
        <v>226</v>
      </c>
      <c r="I17" s="14" t="s">
        <v>241</v>
      </c>
      <c r="J17" s="18" t="s">
        <v>30</v>
      </c>
    </row>
    <row r="18" customFormat="false" ht="15" hidden="false" customHeight="false" outlineLevel="0" collapsed="false">
      <c r="A18" s="6" t="s">
        <v>138</v>
      </c>
      <c r="B18" s="6" t="s">
        <v>139</v>
      </c>
      <c r="C18" s="6" t="s">
        <v>79</v>
      </c>
      <c r="D18" s="7" t="n">
        <v>1</v>
      </c>
      <c r="E18" s="8" t="n">
        <v>266200</v>
      </c>
      <c r="F18" s="9"/>
      <c r="G18" s="8" t="n">
        <v>266200</v>
      </c>
      <c r="H18" s="7" t="s">
        <v>242</v>
      </c>
      <c r="I18" s="7" t="s">
        <v>243</v>
      </c>
      <c r="J18" s="11" t="s">
        <v>30</v>
      </c>
    </row>
    <row r="19" customFormat="false" ht="15" hidden="false" customHeight="false" outlineLevel="0" collapsed="false">
      <c r="A19" s="13" t="s">
        <v>142</v>
      </c>
      <c r="B19" s="13" t="s">
        <v>143</v>
      </c>
      <c r="C19" s="13" t="s">
        <v>79</v>
      </c>
      <c r="D19" s="14" t="n">
        <v>2</v>
      </c>
      <c r="E19" s="15" t="n">
        <v>96873</v>
      </c>
      <c r="F19" s="16" t="n">
        <v>10</v>
      </c>
      <c r="G19" s="15" t="n">
        <v>62496</v>
      </c>
      <c r="H19" s="14" t="s">
        <v>226</v>
      </c>
      <c r="I19" s="14" t="s">
        <v>244</v>
      </c>
      <c r="J19" s="18" t="s">
        <v>30</v>
      </c>
    </row>
    <row r="20" customFormat="false" ht="15" hidden="false" customHeight="false" outlineLevel="0" collapsed="false">
      <c r="A20" s="6" t="s">
        <v>149</v>
      </c>
      <c r="B20" s="6" t="s">
        <v>150</v>
      </c>
      <c r="C20" s="6" t="s">
        <v>148</v>
      </c>
      <c r="D20" s="7" t="n">
        <v>3</v>
      </c>
      <c r="E20" s="8" t="n">
        <v>233287</v>
      </c>
      <c r="F20" s="9"/>
      <c r="G20" s="8" t="n">
        <v>178333</v>
      </c>
      <c r="H20" s="7" t="s">
        <v>226</v>
      </c>
      <c r="I20" s="7" t="s">
        <v>245</v>
      </c>
      <c r="J20" s="11" t="s">
        <v>30</v>
      </c>
    </row>
    <row r="21" customFormat="false" ht="15" hidden="false" customHeight="false" outlineLevel="0" collapsed="false">
      <c r="A21" s="13" t="s">
        <v>157</v>
      </c>
      <c r="B21" s="13" t="s">
        <v>158</v>
      </c>
      <c r="C21" s="13" t="s">
        <v>148</v>
      </c>
      <c r="D21" s="14" t="n">
        <v>1</v>
      </c>
      <c r="E21" s="15" t="n">
        <v>64647</v>
      </c>
      <c r="F21" s="16" t="n">
        <v>9.44</v>
      </c>
      <c r="G21" s="15" t="n">
        <v>64647</v>
      </c>
      <c r="H21" s="14" t="s">
        <v>226</v>
      </c>
      <c r="I21" s="14" t="s">
        <v>246</v>
      </c>
      <c r="J21" s="18" t="s">
        <v>30</v>
      </c>
    </row>
    <row r="22" customFormat="false" ht="15" hidden="false" customHeight="false" outlineLevel="0" collapsed="false">
      <c r="A22" s="6" t="s">
        <v>161</v>
      </c>
      <c r="B22" s="6" t="s">
        <v>162</v>
      </c>
      <c r="C22" s="6" t="s">
        <v>148</v>
      </c>
      <c r="D22" s="7" t="n">
        <v>10</v>
      </c>
      <c r="E22" s="8" t="n">
        <v>159634</v>
      </c>
      <c r="F22" s="9" t="n">
        <v>8.16</v>
      </c>
      <c r="G22" s="8" t="n">
        <v>100000</v>
      </c>
      <c r="H22" s="7" t="s">
        <v>226</v>
      </c>
      <c r="I22" s="7" t="s">
        <v>173</v>
      </c>
      <c r="J22" s="11" t="s">
        <v>30</v>
      </c>
    </row>
    <row r="23" customFormat="false" ht="15" hidden="false" customHeight="false" outlineLevel="0" collapsed="false">
      <c r="A23" s="13" t="s">
        <v>178</v>
      </c>
      <c r="B23" s="13" t="s">
        <v>125</v>
      </c>
      <c r="C23" s="13" t="s">
        <v>148</v>
      </c>
      <c r="D23" s="14" t="n">
        <v>2</v>
      </c>
      <c r="E23" s="15" t="n">
        <v>71429</v>
      </c>
      <c r="F23" s="16" t="n">
        <v>6.98</v>
      </c>
      <c r="G23" s="15" t="n">
        <v>71429</v>
      </c>
      <c r="H23" s="14" t="s">
        <v>226</v>
      </c>
      <c r="I23" s="14" t="s">
        <v>247</v>
      </c>
      <c r="J23" s="18" t="s">
        <v>30</v>
      </c>
    </row>
    <row r="24" customFormat="false" ht="15" hidden="false" customHeight="false" outlineLevel="0" collapsed="false">
      <c r="A24" s="6" t="s">
        <v>183</v>
      </c>
      <c r="B24" s="6" t="s">
        <v>162</v>
      </c>
      <c r="C24" s="6" t="s">
        <v>148</v>
      </c>
      <c r="D24" s="7" t="n">
        <v>6</v>
      </c>
      <c r="E24" s="8" t="n">
        <v>179929</v>
      </c>
      <c r="F24" s="9" t="n">
        <v>6.45</v>
      </c>
      <c r="G24" s="8" t="n">
        <v>115625</v>
      </c>
      <c r="H24" s="7" t="s">
        <v>226</v>
      </c>
      <c r="I24" s="7" t="s">
        <v>248</v>
      </c>
      <c r="J24" s="11" t="s">
        <v>30</v>
      </c>
    </row>
    <row r="25" customFormat="false" ht="15" hidden="false" customHeight="false" outlineLevel="0" collapsed="false">
      <c r="A25" s="13" t="s">
        <v>196</v>
      </c>
      <c r="B25" s="13" t="s">
        <v>150</v>
      </c>
      <c r="C25" s="13" t="s">
        <v>148</v>
      </c>
      <c r="D25" s="14" t="n">
        <v>3</v>
      </c>
      <c r="E25" s="15" t="n">
        <v>115866</v>
      </c>
      <c r="F25" s="16" t="n">
        <v>6.3</v>
      </c>
      <c r="G25" s="15" t="n">
        <v>45000</v>
      </c>
      <c r="H25" s="14" t="s">
        <v>226</v>
      </c>
      <c r="I25" s="14" t="s">
        <v>249</v>
      </c>
      <c r="J25" s="18" t="s">
        <v>30</v>
      </c>
    </row>
    <row r="26" customFormat="false" ht="15" hidden="false" customHeight="false" outlineLevel="0" collapsed="false">
      <c r="A26" s="6" t="s">
        <v>203</v>
      </c>
      <c r="B26" s="6" t="s">
        <v>150</v>
      </c>
      <c r="C26" s="6" t="s">
        <v>148</v>
      </c>
      <c r="D26" s="7" t="n">
        <v>2</v>
      </c>
      <c r="E26" s="8" t="n">
        <v>181250</v>
      </c>
      <c r="F26" s="9"/>
      <c r="G26" s="8" t="n">
        <v>175000</v>
      </c>
      <c r="H26" s="7" t="s">
        <v>226</v>
      </c>
      <c r="I26" s="7" t="s">
        <v>250</v>
      </c>
      <c r="J26" s="11" t="s">
        <v>30</v>
      </c>
    </row>
    <row r="27" customFormat="false" ht="15" hidden="false" customHeight="false" outlineLevel="0" collapsed="false">
      <c r="A27" s="13" t="s">
        <v>208</v>
      </c>
      <c r="B27" s="13" t="s">
        <v>139</v>
      </c>
      <c r="C27" s="13" t="s">
        <v>148</v>
      </c>
      <c r="D27" s="14" t="n">
        <v>1</v>
      </c>
      <c r="E27" s="15" t="n">
        <v>170750</v>
      </c>
      <c r="F27" s="16" t="n">
        <v>6</v>
      </c>
      <c r="G27" s="15" t="n">
        <v>170750</v>
      </c>
      <c r="H27" s="14" t="s">
        <v>226</v>
      </c>
      <c r="I27" s="14" t="s">
        <v>251</v>
      </c>
      <c r="J27" s="18" t="s">
        <v>30</v>
      </c>
    </row>
    <row r="28" customFormat="false" ht="23.85" hidden="false" customHeight="false" outlineLevel="0" collapsed="false">
      <c r="A28" s="6" t="s">
        <v>211</v>
      </c>
      <c r="B28" s="6" t="s">
        <v>143</v>
      </c>
      <c r="C28" s="6" t="s">
        <v>148</v>
      </c>
      <c r="D28" s="7" t="n">
        <v>3</v>
      </c>
      <c r="E28" s="8" t="n">
        <v>70332</v>
      </c>
      <c r="F28" s="9" t="n">
        <v>8.33</v>
      </c>
      <c r="G28" s="8" t="n">
        <v>69375</v>
      </c>
      <c r="H28" s="7" t="s">
        <v>252</v>
      </c>
      <c r="I28" s="7" t="s">
        <v>253</v>
      </c>
      <c r="J28" s="11" t="s">
        <v>30</v>
      </c>
    </row>
  </sheetData>
  <autoFilter ref="A3:J28"/>
  <mergeCells count="1">
    <mergeCell ref="A1:J1"/>
  </mergeCells>
  <hyperlinks>
    <hyperlink ref="J4" r:id="rId1" display="Link"/>
    <hyperlink ref="J5" r:id="rId2" display="Link"/>
    <hyperlink ref="J6" r:id="rId3" display="Link"/>
    <hyperlink ref="J7" r:id="rId4" display="Link"/>
    <hyperlink ref="J8" r:id="rId5" display="Link"/>
    <hyperlink ref="J9" r:id="rId6" display="Link"/>
    <hyperlink ref="J10" r:id="rId7" display="Link"/>
    <hyperlink ref="J11" r:id="rId8" display="Link"/>
    <hyperlink ref="J12" r:id="rId9" display="Link"/>
    <hyperlink ref="J13" r:id="rId10" display="Link"/>
    <hyperlink ref="J14" r:id="rId11" display="Link"/>
    <hyperlink ref="J15" r:id="rId12" display="Link"/>
    <hyperlink ref="J16" r:id="rId13" display="Link"/>
    <hyperlink ref="J17" r:id="rId14" display="Link"/>
    <hyperlink ref="J18" r:id="rId15" display="Link"/>
    <hyperlink ref="J19" r:id="rId16" display="Link"/>
    <hyperlink ref="J20" r:id="rId17" display="Link"/>
    <hyperlink ref="J21" r:id="rId18" display="Link"/>
    <hyperlink ref="J22" r:id="rId19" display="Link"/>
    <hyperlink ref="J23" r:id="rId20" display="Link"/>
    <hyperlink ref="J24" r:id="rId21" display="Link"/>
    <hyperlink ref="J25" r:id="rId22" display="Link"/>
    <hyperlink ref="J26" r:id="rId23" display="Link"/>
    <hyperlink ref="J27" r:id="rId24" display="Link"/>
    <hyperlink ref="J28" r:id="rId25" display="Lin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50"/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5"/>
    <col collapsed="false" customWidth="true" hidden="false" outlineLevel="0" max="3" min="3" style="0" width="14"/>
    <col collapsed="false" customWidth="true" hidden="false" outlineLevel="0" max="4" min="4" style="0" width="5"/>
    <col collapsed="false" customWidth="true" hidden="false" outlineLevel="0" max="5" min="5" style="0" width="32"/>
    <col collapsed="false" customWidth="true" hidden="false" outlineLevel="0" max="6" min="6" style="0" width="12"/>
    <col collapsed="false" customWidth="true" hidden="false" outlineLevel="0" max="7" min="7" style="0" width="6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6"/>
    <col collapsed="false" customWidth="true" hidden="false" outlineLevel="0" max="11" min="11" style="0" width="7"/>
    <col collapsed="false" customWidth="true" hidden="false" outlineLevel="0" max="12" min="12" style="0" width="50"/>
  </cols>
  <sheetData>
    <row r="1" customFormat="false" ht="17.35" hidden="false" customHeight="false" outlineLevel="0" collapsed="false">
      <c r="A1" s="1" t="s">
        <v>254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0" t="s">
        <v>255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4" customFormat="false" ht="23.85" hidden="false" customHeight="false" outlineLevel="0" collapsed="false">
      <c r="A4" s="5" t="s">
        <v>256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  <c r="J4" s="5" t="s">
        <v>16</v>
      </c>
      <c r="K4" s="5" t="s">
        <v>257</v>
      </c>
      <c r="L4" s="5" t="s">
        <v>258</v>
      </c>
    </row>
    <row r="5" customFormat="false" ht="15" hidden="false" customHeight="false" outlineLevel="0" collapsed="false">
      <c r="A5" s="21" t="n">
        <v>1</v>
      </c>
      <c r="B5" s="6" t="s">
        <v>148</v>
      </c>
      <c r="C5" s="6" t="s">
        <v>211</v>
      </c>
      <c r="D5" s="7" t="s">
        <v>143</v>
      </c>
      <c r="E5" s="7" t="s">
        <v>253</v>
      </c>
      <c r="F5" s="8" t="n">
        <v>3650000</v>
      </c>
      <c r="G5" s="7" t="n">
        <v>52</v>
      </c>
      <c r="H5" s="8" t="n">
        <v>70192</v>
      </c>
      <c r="I5" s="9" t="n">
        <v>8.33</v>
      </c>
      <c r="J5" s="7" t="n">
        <v>91</v>
      </c>
      <c r="K5" s="7"/>
      <c r="L5" s="7" t="s">
        <v>259</v>
      </c>
    </row>
    <row r="6" customFormat="false" ht="15" hidden="false" customHeight="false" outlineLevel="0" collapsed="false">
      <c r="A6" s="22" t="n">
        <v>2</v>
      </c>
      <c r="B6" s="13" t="s">
        <v>25</v>
      </c>
      <c r="C6" s="13" t="s">
        <v>26</v>
      </c>
      <c r="D6" s="14" t="s">
        <v>27</v>
      </c>
      <c r="E6" s="14" t="s">
        <v>260</v>
      </c>
      <c r="F6" s="15" t="n">
        <v>1825000</v>
      </c>
      <c r="G6" s="14" t="n">
        <v>36</v>
      </c>
      <c r="H6" s="15" t="n">
        <v>50694</v>
      </c>
      <c r="I6" s="16"/>
      <c r="J6" s="14" t="n">
        <v>100</v>
      </c>
      <c r="K6" s="14"/>
      <c r="L6" s="14" t="s">
        <v>261</v>
      </c>
    </row>
    <row r="7" customFormat="false" ht="15" hidden="false" customHeight="false" outlineLevel="0" collapsed="false">
      <c r="A7" s="21" t="n">
        <v>3</v>
      </c>
      <c r="B7" s="6" t="s">
        <v>148</v>
      </c>
      <c r="C7" s="6" t="s">
        <v>157</v>
      </c>
      <c r="D7" s="7" t="s">
        <v>158</v>
      </c>
      <c r="E7" s="7" t="s">
        <v>246</v>
      </c>
      <c r="F7" s="8" t="n">
        <v>1099000</v>
      </c>
      <c r="G7" s="7" t="n">
        <v>17</v>
      </c>
      <c r="H7" s="8" t="n">
        <v>64647</v>
      </c>
      <c r="I7" s="9" t="n">
        <v>9.44</v>
      </c>
      <c r="J7" s="7" t="n">
        <v>100</v>
      </c>
      <c r="K7" s="7"/>
      <c r="L7" s="7" t="s">
        <v>262</v>
      </c>
    </row>
    <row r="8" customFormat="false" ht="15" hidden="false" customHeight="false" outlineLevel="0" collapsed="false">
      <c r="A8" s="22" t="n">
        <v>4</v>
      </c>
      <c r="B8" s="13" t="s">
        <v>79</v>
      </c>
      <c r="C8" s="13" t="s">
        <v>142</v>
      </c>
      <c r="D8" s="14" t="s">
        <v>143</v>
      </c>
      <c r="E8" s="14" t="s">
        <v>244</v>
      </c>
      <c r="F8" s="15" t="n">
        <v>1499900</v>
      </c>
      <c r="G8" s="14" t="n">
        <v>24</v>
      </c>
      <c r="H8" s="15" t="n">
        <v>62496</v>
      </c>
      <c r="I8" s="16" t="n">
        <v>10</v>
      </c>
      <c r="J8" s="14"/>
      <c r="K8" s="14"/>
      <c r="L8" s="14" t="s">
        <v>263</v>
      </c>
    </row>
    <row r="9" customFormat="false" ht="15" hidden="false" customHeight="false" outlineLevel="0" collapsed="false">
      <c r="A9" s="21" t="n">
        <v>5</v>
      </c>
      <c r="B9" s="6" t="s">
        <v>25</v>
      </c>
      <c r="C9" s="6" t="s">
        <v>39</v>
      </c>
      <c r="D9" s="7" t="s">
        <v>40</v>
      </c>
      <c r="E9" s="7" t="s">
        <v>264</v>
      </c>
      <c r="F9" s="8" t="n">
        <v>1425000</v>
      </c>
      <c r="G9" s="7" t="n">
        <v>30</v>
      </c>
      <c r="H9" s="8" t="n">
        <v>47500</v>
      </c>
      <c r="I9" s="9" t="n">
        <v>9.27</v>
      </c>
      <c r="J9" s="7" t="n">
        <v>92</v>
      </c>
      <c r="K9" s="7"/>
      <c r="L9" s="7" t="s">
        <v>265</v>
      </c>
    </row>
    <row r="10" customFormat="false" ht="15" hidden="false" customHeight="false" outlineLevel="0" collapsed="false">
      <c r="A10" s="22" t="n">
        <v>6</v>
      </c>
      <c r="B10" s="13" t="s">
        <v>148</v>
      </c>
      <c r="C10" s="13" t="s">
        <v>196</v>
      </c>
      <c r="D10" s="14" t="s">
        <v>150</v>
      </c>
      <c r="E10" s="14" t="s">
        <v>249</v>
      </c>
      <c r="F10" s="15" t="n">
        <v>1890000</v>
      </c>
      <c r="G10" s="14" t="n">
        <v>42</v>
      </c>
      <c r="H10" s="15" t="n">
        <v>45000</v>
      </c>
      <c r="I10" s="16" t="n">
        <v>6.3</v>
      </c>
      <c r="J10" s="14"/>
      <c r="K10" s="14"/>
      <c r="L10" s="14" t="s">
        <v>266</v>
      </c>
    </row>
    <row r="11" customFormat="false" ht="15" hidden="false" customHeight="false" outlineLevel="0" collapsed="false">
      <c r="A11" s="21" t="n">
        <v>7</v>
      </c>
      <c r="B11" s="6" t="s">
        <v>79</v>
      </c>
      <c r="C11" s="6" t="s">
        <v>124</v>
      </c>
      <c r="D11" s="7" t="s">
        <v>125</v>
      </c>
      <c r="E11" s="7" t="s">
        <v>136</v>
      </c>
      <c r="F11" s="8" t="n">
        <v>1190000</v>
      </c>
      <c r="G11" s="7" t="n">
        <v>24</v>
      </c>
      <c r="H11" s="8" t="n">
        <v>49583</v>
      </c>
      <c r="I11" s="9"/>
      <c r="J11" s="7"/>
      <c r="K11" s="7"/>
      <c r="L11" s="7" t="s">
        <v>267</v>
      </c>
    </row>
    <row r="12" customFormat="false" ht="15" hidden="false" customHeight="false" outlineLevel="0" collapsed="false">
      <c r="A12" s="22" t="n">
        <v>8</v>
      </c>
      <c r="B12" s="13" t="s">
        <v>25</v>
      </c>
      <c r="C12" s="13" t="s">
        <v>67</v>
      </c>
      <c r="D12" s="14" t="s">
        <v>68</v>
      </c>
      <c r="E12" s="14" t="s">
        <v>71</v>
      </c>
      <c r="F12" s="15" t="n">
        <v>1300000</v>
      </c>
      <c r="G12" s="14" t="n">
        <v>23</v>
      </c>
      <c r="H12" s="15" t="n">
        <v>56522</v>
      </c>
      <c r="I12" s="16" t="n">
        <v>9.78</v>
      </c>
      <c r="J12" s="14"/>
      <c r="K12" s="14"/>
      <c r="L12" s="14" t="s">
        <v>268</v>
      </c>
    </row>
    <row r="13" customFormat="false" ht="15" hidden="false" customHeight="false" outlineLevel="0" collapsed="false">
      <c r="A13" s="21" t="n">
        <v>9</v>
      </c>
      <c r="B13" s="6" t="s">
        <v>79</v>
      </c>
      <c r="C13" s="6" t="s">
        <v>124</v>
      </c>
      <c r="D13" s="7" t="s">
        <v>125</v>
      </c>
      <c r="E13" s="7" t="s">
        <v>269</v>
      </c>
      <c r="F13" s="8" t="n">
        <v>1564000</v>
      </c>
      <c r="G13" s="7" t="n">
        <v>23</v>
      </c>
      <c r="H13" s="8" t="n">
        <v>68000</v>
      </c>
      <c r="I13" s="9" t="n">
        <v>7.74</v>
      </c>
      <c r="J13" s="7"/>
      <c r="K13" s="7"/>
      <c r="L13" s="7" t="s">
        <v>270</v>
      </c>
    </row>
    <row r="14" customFormat="false" ht="15" hidden="false" customHeight="false" outlineLevel="0" collapsed="false">
      <c r="A14" s="22" t="n">
        <v>10</v>
      </c>
      <c r="B14" s="13" t="s">
        <v>148</v>
      </c>
      <c r="C14" s="13" t="s">
        <v>178</v>
      </c>
      <c r="D14" s="14" t="s">
        <v>125</v>
      </c>
      <c r="E14" s="14" t="s">
        <v>247</v>
      </c>
      <c r="F14" s="15" t="n">
        <v>1999999</v>
      </c>
      <c r="G14" s="14" t="n">
        <v>28</v>
      </c>
      <c r="H14" s="15" t="n">
        <v>71429</v>
      </c>
      <c r="I14" s="16" t="n">
        <v>6.98</v>
      </c>
      <c r="J14" s="14"/>
      <c r="K14" s="14"/>
      <c r="L14" s="14" t="s">
        <v>271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2026-04-08T16:26:52Z</dcterms:created>
  <dc:creator>openpyxl</dc:creator>
  <dc:description/>
  <dc:language>en-US</dc:language>
  <cp:lastModifiedBy/>
  <dcterms:modified xsi:type="dcterms:W3CDTF">2026-04-08T16:26:52Z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