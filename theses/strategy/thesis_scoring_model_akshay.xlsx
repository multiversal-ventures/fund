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1 Supply Wall" sheetId="1" state="visible" r:id="rId3"/>
    <sheet name="T2 Broken Stack" sheetId="2" state="visible" r:id="rId4"/>
    <sheet name="T3 Cost Moat" sheetId="3" state="visible" r:id="rId5"/>
    <sheet name="Data Sources" sheetId="4" state="visible" r:id="rId6"/>
  </sheets>
  <definedNames>
    <definedName function="false" hidden="true" localSheetId="0" name="_xlnm._FilterDatabase" vbProcedure="false">'T1 Supply Wall'!$A$7:$V$45</definedName>
    <definedName function="false" hidden="true" localSheetId="1" name="_xlnm._FilterDatabase" vbProcedure="false">'T2 Broken Stack'!$A$7:$W$38</definedName>
    <definedName function="false" hidden="true" localSheetId="2" name="_xlnm._FilterDatabase" vbProcedure="false">'T3 Cost Moat'!$A$8:$V$38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Adjust this weight. All weights should sum to 100%.</t>
        </r>
      </text>
    </comment>
    <comment ref="D4" authorId="0">
      <text>
        <r>
          <rPr>
            <sz val="10"/>
            <rFont val="Arial"/>
            <family val="2"/>
          </rPr>
          <t xml:space="preserve">Adjust this weight. All weights should sum to 100%.</t>
        </r>
      </text>
    </comment>
    <comment ref="F4" authorId="0">
      <text>
        <r>
          <rPr>
            <sz val="10"/>
            <rFont val="Arial"/>
            <family val="2"/>
          </rPr>
          <t xml:space="preserve">Adjust this weight. All weights should sum to 100%.</t>
        </r>
      </text>
    </comment>
    <comment ref="H4" authorId="0">
      <text>
        <r>
          <rPr>
            <sz val="10"/>
            <rFont val="Arial"/>
            <family val="2"/>
          </rPr>
          <t xml:space="preserve">Adjust this weight. All weights should sum to 100%.</t>
        </r>
      </text>
    </comment>
    <comment ref="J4" authorId="0">
      <text>
        <r>
          <rPr>
            <sz val="10"/>
            <rFont val="Arial"/>
            <family val="2"/>
          </rPr>
          <t xml:space="preserve">Adjust this weight. All weights should sum to 100%.</t>
        </r>
      </text>
    </comment>
    <comment ref="L4" authorId="0">
      <text>
        <r>
          <rPr>
            <sz val="10"/>
            <rFont val="Arial"/>
            <family val="2"/>
          </rPr>
          <t xml:space="preserve">Adjust this weight. All weights should sum to 100%.</t>
        </r>
      </text>
    </comment>
  </commentList>
</comments>
</file>

<file path=xl/sharedStrings.xml><?xml version="1.0" encoding="utf-8"?>
<sst xmlns="http://schemas.openxmlformats.org/spreadsheetml/2006/main" count="652" uniqueCount="474">
  <si>
    <t xml:space="preserve">THESIS 1: THE INVISIBLE SUPPLY WALL</t>
  </si>
  <si>
    <t xml:space="preserve">SCORING WEIGHTS (adjust these to change rankings)</t>
  </si>
  <si>
    <t xml:space="preserve">Occupancy Rate</t>
  </si>
  <si>
    <t xml:space="preserve">Supply Pipeline (inverse)</t>
  </si>
  <si>
    <t xml:space="preserve">Rent Growth YoY</t>
  </si>
  <si>
    <t xml:space="preserve">Job Growth YoY</t>
  </si>
  <si>
    <t xml:space="preserve">Pop Growth 3-5yr</t>
  </si>
  <si>
    <t xml:space="preserve">Per-Unit Discount vs Natl Avg</t>
  </si>
  <si>
    <t xml:space="preserve">Weight Check:</t>
  </si>
  <si>
    <t xml:space="preserve">#</t>
  </si>
  <si>
    <t xml:space="preserve">Metro</t>
  </si>
  <si>
    <t xml:space="preserve">State</t>
  </si>
  <si>
    <t xml:space="preserve">ZIP Codes</t>
  </si>
  <si>
    <t xml:space="preserve">Occupancy %</t>
  </si>
  <si>
    <t xml:space="preserve">Supply Pipeline %</t>
  </si>
  <si>
    <t xml:space="preserve">Rent Growth YoY %</t>
  </si>
  <si>
    <t xml:space="preserve">Job Growth YoY %</t>
  </si>
  <si>
    <t xml:space="preserve">Pop Growth 3-5yr %</t>
  </si>
  <si>
    <t xml:space="preserve">Per-Unit Price ($)</t>
  </si>
  <si>
    <t xml:space="preserve">Natl Avg Price ($)</t>
  </si>
  <si>
    <t xml:space="preserve">Cap Rate B/C %</t>
  </si>
  <si>
    <t xml:space="preserve">Median HH Income ($)</t>
  </si>
  <si>
    <t xml:space="preserve">Key Employers / Notes</t>
  </si>
  <si>
    <t xml:space="preserve">Occ Score</t>
  </si>
  <si>
    <t xml:space="preserve">Supply Score</t>
  </si>
  <si>
    <t xml:space="preserve">Rent Score</t>
  </si>
  <si>
    <t xml:space="preserve">Job Score</t>
  </si>
  <si>
    <t xml:space="preserve">Pop Score</t>
  </si>
  <si>
    <t xml:space="preserve">Price Score</t>
  </si>
  <si>
    <t xml:space="preserve">TOTAL SCORE</t>
  </si>
  <si>
    <t xml:space="preserve">RANK</t>
  </si>
  <si>
    <t xml:space="preserve">Grand Rapids</t>
  </si>
  <si>
    <t xml:space="preserve">MI</t>
  </si>
  <si>
    <t xml:space="preserve">49507, 49503, 49505</t>
  </si>
  <si>
    <t xml:space="preserve">Tech +4.4%/yr; 97% occ; $57M VC in 2025</t>
  </si>
  <si>
    <t xml:space="preserve">Cincinnati</t>
  </si>
  <si>
    <t xml:space="preserve">OH</t>
  </si>
  <si>
    <t xml:space="preserve">45211, 45238, 45216</t>
  </si>
  <si>
    <t xml:space="preserve">#1 market to watch (RentCafe); boomerang migration</t>
  </si>
  <si>
    <t xml:space="preserve">Columbus</t>
  </si>
  <si>
    <t xml:space="preserve">43224, 43223, 43209</t>
  </si>
  <si>
    <t xml:space="preserve">Intel $20B fab; +1,288 MF permits YoY</t>
  </si>
  <si>
    <t xml:space="preserve">Indianapolis</t>
  </si>
  <si>
    <t xml:space="preserve">IN</t>
  </si>
  <si>
    <t xml:space="preserve">46218, 46201, 46222</t>
  </si>
  <si>
    <t xml:space="preserve">#1 domestic migration Q3-Q4 2025; Eli Lilly $9B</t>
  </si>
  <si>
    <t xml:space="preserve">Milwaukee</t>
  </si>
  <si>
    <t xml:space="preserve">WI</t>
  </si>
  <si>
    <t xml:space="preserve">53215, 53212, 53209</t>
  </si>
  <si>
    <t xml:space="preserve">#6 occ nationally; pipeline down 39%</t>
  </si>
  <si>
    <t xml:space="preserve">Kansas City</t>
  </si>
  <si>
    <t xml:space="preserve">MO</t>
  </si>
  <si>
    <t xml:space="preserve">64130, 64127, 64109</t>
  </si>
  <si>
    <t xml:space="preserve">Stable 2.2M MSA; diversified economy</t>
  </si>
  <si>
    <t xml:space="preserve">Des Moines</t>
  </si>
  <si>
    <t xml:space="preserve">IA</t>
  </si>
  <si>
    <t xml:space="preserve">50316, 50314, 50310</t>
  </si>
  <si>
    <t xml:space="preserve">+6% pop since 2020 (2x national); insurance HQ</t>
  </si>
  <si>
    <t xml:space="preserve">Omaha</t>
  </si>
  <si>
    <t xml:space="preserve">NE</t>
  </si>
  <si>
    <t xml:space="preserve">68104, 68107, 68111</t>
  </si>
  <si>
    <t xml:space="preserve">Elevated pipeline but strong absorption</t>
  </si>
  <si>
    <t xml:space="preserve">Louisville</t>
  </si>
  <si>
    <t xml:space="preserve">KY</t>
  </si>
  <si>
    <t xml:space="preserve">40215, 40210, 40214</t>
  </si>
  <si>
    <t xml:space="preserve">Starts down 69%; lowest since 2018</t>
  </si>
  <si>
    <t xml:space="preserve">Nashville</t>
  </si>
  <si>
    <t xml:space="preserve">TN</t>
  </si>
  <si>
    <t xml:space="preserve">37211, 37207, 37013</t>
  </si>
  <si>
    <t xml:space="preserve">Pipeline down 41% from peak; stabilizing</t>
  </si>
  <si>
    <t xml:space="preserve">Madison</t>
  </si>
  <si>
    <t xml:space="preserve">53713, 53704, 53711</t>
  </si>
  <si>
    <t xml:space="preserve">Epic Systems; UW; state gov anchor</t>
  </si>
  <si>
    <t xml:space="preserve">Pittsburgh</t>
  </si>
  <si>
    <t xml:space="preserve">PA</t>
  </si>
  <si>
    <t xml:space="preserve">15210, 15206, 15212</t>
  </si>
  <si>
    <t xml:space="preserve">Cheap entry; healthcare/edu anchor; pop declining</t>
  </si>
  <si>
    <t xml:space="preserve">Cleveland</t>
  </si>
  <si>
    <t xml:space="preserve">44109, 44102, 44104</t>
  </si>
  <si>
    <t xml:space="preserve">+5.1% rent growth leads Midwest; deep value</t>
  </si>
  <si>
    <t xml:space="preserve">Dayton</t>
  </si>
  <si>
    <t xml:space="preserve">45405, 45420, 45406</t>
  </si>
  <si>
    <t xml:space="preserve">Wright-Patt AFB anchor; very low entry</t>
  </si>
  <si>
    <t xml:space="preserve">Akron</t>
  </si>
  <si>
    <t xml:space="preserve">44305, 44310, 44304</t>
  </si>
  <si>
    <t xml:space="preserve">Near-zero pipeline; polymer/healthcare base</t>
  </si>
  <si>
    <t xml:space="preserve">Fort Wayne</t>
  </si>
  <si>
    <t xml:space="preserve">46802, 46806, 46803</t>
  </si>
  <si>
    <t xml:space="preserve">Affordable entry; stable mfg base</t>
  </si>
  <si>
    <t xml:space="preserve">Lexington</t>
  </si>
  <si>
    <t xml:space="preserve">40505, 40508, 40517</t>
  </si>
  <si>
    <t xml:space="preserve">0.6% pipeline (lowest); 7.3% peak rent growth</t>
  </si>
  <si>
    <t xml:space="preserve">Wichita</t>
  </si>
  <si>
    <t xml:space="preserve">KS</t>
  </si>
  <si>
    <t xml:space="preserve">67208, 67211, 67203</t>
  </si>
  <si>
    <t xml:space="preserve">1.2% pipeline (2nd lowest); aviation anchor</t>
  </si>
  <si>
    <t xml:space="preserve">Toledo</t>
  </si>
  <si>
    <t xml:space="preserve">43612, 43607, 43609</t>
  </si>
  <si>
    <t xml:space="preserve">9.3% cap rate; ultra-low entry at $45K/unit</t>
  </si>
  <si>
    <t xml:space="preserve">Ann Arbor</t>
  </si>
  <si>
    <t xml:space="preserve">48104, 48103, 48197</t>
  </si>
  <si>
    <t xml:space="preserve">U of M anchor; +44% permits vs 2020</t>
  </si>
  <si>
    <t xml:space="preserve">Kalamazoo</t>
  </si>
  <si>
    <t xml:space="preserve">49001, 49048, 49007</t>
  </si>
  <si>
    <t xml:space="preserve">Pfizer + WMU; very limited pipeline</t>
  </si>
  <si>
    <t xml:space="preserve">Lansing</t>
  </si>
  <si>
    <t xml:space="preserve">48912, 48910, 48906</t>
  </si>
  <si>
    <t xml:space="preserve">+20% rent growth over 3 years; state capital</t>
  </si>
  <si>
    <t xml:space="preserve">South Bend</t>
  </si>
  <si>
    <t xml:space="preserve">46601, 46628, 46614</t>
  </si>
  <si>
    <t xml:space="preserve">+6.1% rent growth; Notre Dame anchor</t>
  </si>
  <si>
    <t xml:space="preserve">Evansville</t>
  </si>
  <si>
    <t xml:space="preserve">47714, 47710, 47711</t>
  </si>
  <si>
    <t xml:space="preserve">Very limited supply (268 units TTM)</t>
  </si>
  <si>
    <t xml:space="preserve">Springfield</t>
  </si>
  <si>
    <t xml:space="preserve">65802, 65803, 65807</t>
  </si>
  <si>
    <t xml:space="preserve">Top-10 rent growth; pipeline down 73%</t>
  </si>
  <si>
    <t xml:space="preserve">Rochester</t>
  </si>
  <si>
    <t xml:space="preserve">NY</t>
  </si>
  <si>
    <t xml:space="preserve">14609, 14621, 14611</t>
  </si>
  <si>
    <t xml:space="preserve">#1 competitive rental market; near-zero supply</t>
  </si>
  <si>
    <t xml:space="preserve">Buffalo</t>
  </si>
  <si>
    <t xml:space="preserve">14211, 14215, 14213</t>
  </si>
  <si>
    <t xml:space="preserve">&lt;0.5% pipeline; strong rent growth</t>
  </si>
  <si>
    <t xml:space="preserve">Syracuse</t>
  </si>
  <si>
    <t xml:space="preserve">13204, 13208, 13210</t>
  </si>
  <si>
    <t xml:space="preserve">97.4% occ; 9.6% cap; $10B Micron tech hub</t>
  </si>
  <si>
    <t xml:space="preserve">Allentown</t>
  </si>
  <si>
    <t xml:space="preserve">18102, 18018, 18042</t>
  </si>
  <si>
    <t xml:space="preserve">#2 competitive market; NYC/NJ spillover</t>
  </si>
  <si>
    <t xml:space="preserve">Harrisburg</t>
  </si>
  <si>
    <t xml:space="preserve">17104, 17109, 17011</t>
  </si>
  <si>
    <t xml:space="preserve">State capital; healthcare anchor</t>
  </si>
  <si>
    <t xml:space="preserve">Appleton</t>
  </si>
  <si>
    <t xml:space="preserve">n/a</t>
  </si>
  <si>
    <t xml:space="preserve">2.9% vacancy; frozen pipeline</t>
  </si>
  <si>
    <t xml:space="preserve">Duluth</t>
  </si>
  <si>
    <t xml:space="preserve">MN</t>
  </si>
  <si>
    <t xml:space="preserve">1.8% vacancy; needs 3,600+ units</t>
  </si>
  <si>
    <t xml:space="preserve">Rockford</t>
  </si>
  <si>
    <t xml:space="preserve">IL</t>
  </si>
  <si>
    <t xml:space="preserve">4% vacancy; strong rent growth</t>
  </si>
  <si>
    <t xml:space="preserve">Canton</t>
  </si>
  <si>
    <t xml:space="preserve">10.7% cap; #3 Buildium 2026 list</t>
  </si>
  <si>
    <t xml:space="preserve">Green Bay</t>
  </si>
  <si>
    <t xml:space="preserve">#1 Buildium 2026; 6.2% rent growth</t>
  </si>
  <si>
    <t xml:space="preserve">Youngstown</t>
  </si>
  <si>
    <t xml:space="preserve">Ultra-cheap entry; minimal pipeline</t>
  </si>
  <si>
    <t xml:space="preserve">Scranton</t>
  </si>
  <si>
    <t xml:space="preserve">NYC/NJ spillover demand</t>
  </si>
  <si>
    <t xml:space="preserve">Erie</t>
  </si>
  <si>
    <t xml:space="preserve">#8 Buildium 2025; very affordable</t>
  </si>
  <si>
    <t xml:space="preserve">THESIS 2: THE BROKEN CAPITAL STACK</t>
  </si>
  <si>
    <t xml:space="preserve">Vacancy Trend (improving)</t>
  </si>
  <si>
    <t xml:space="preserve">Price Discount from Peak</t>
  </si>
  <si>
    <t xml:space="preserve">Pipeline Contraction</t>
  </si>
  <si>
    <t xml:space="preserve">Seller Finance Prevalence</t>
  </si>
  <si>
    <t xml:space="preserve">DSCR Distress Rate</t>
  </si>
  <si>
    <t xml:space="preserve">Vacancy %</t>
  </si>
  <si>
    <t xml:space="preserve">Vacancy Change (bps)</t>
  </si>
  <si>
    <t xml:space="preserve">Discount from Peak %</t>
  </si>
  <si>
    <t xml:space="preserve">Key Employers</t>
  </si>
  <si>
    <t xml:space="preserve">Units Delivered 24-25</t>
  </si>
  <si>
    <t xml:space="preserve">Pipeline UC</t>
  </si>
  <si>
    <t xml:space="preserve">Pipeline as % Stock</t>
  </si>
  <si>
    <t xml:space="preserve">State SF Rank</t>
  </si>
  <si>
    <t xml:space="preserve">DSCR Distress %</t>
  </si>
  <si>
    <t xml:space="preserve">Vac Score</t>
  </si>
  <si>
    <t xml:space="preserve">Disc Score</t>
  </si>
  <si>
    <t xml:space="preserve">Pipe Score</t>
  </si>
  <si>
    <t xml:space="preserve">SF Score</t>
  </si>
  <si>
    <t xml:space="preserve">Distress Score</t>
  </si>
  <si>
    <t xml:space="preserve">Phoenix</t>
  </si>
  <si>
    <t xml:space="preserve">AZ</t>
  </si>
  <si>
    <t xml:space="preserve">85033, 85009, 85015</t>
  </si>
  <si>
    <t xml:space="preserve">Intel/TSMC, Banner Health</t>
  </si>
  <si>
    <t xml:space="preserve">Dallas</t>
  </si>
  <si>
    <t xml:space="preserve">TX</t>
  </si>
  <si>
    <t xml:space="preserve">75217, 75228, 75243</t>
  </si>
  <si>
    <t xml:space="preserve">AT&amp;T, American Airlines, TI</t>
  </si>
  <si>
    <t xml:space="preserve">Austin</t>
  </si>
  <si>
    <t xml:space="preserve">78753, 78741, 78758</t>
  </si>
  <si>
    <t xml:space="preserve">Tesla, Dell, Samsung</t>
  </si>
  <si>
    <t xml:space="preserve">San Antonio</t>
  </si>
  <si>
    <t xml:space="preserve">78207, 78228, 78223</t>
  </si>
  <si>
    <t xml:space="preserve">JBSA (80K), USAA, H-E-B</t>
  </si>
  <si>
    <t xml:space="preserve">Tampa</t>
  </si>
  <si>
    <t xml:space="preserve">FL</t>
  </si>
  <si>
    <t xml:space="preserve">33604, 33610, 33612</t>
  </si>
  <si>
    <t xml:space="preserve">BayCare, MacDill AFB</t>
  </si>
  <si>
    <t xml:space="preserve">Jacksonville</t>
  </si>
  <si>
    <t xml:space="preserve">32210, 32205, 32216</t>
  </si>
  <si>
    <t xml:space="preserve">Mayo Clinic, Naval Station, CSX</t>
  </si>
  <si>
    <t xml:space="preserve">Charlotte</t>
  </si>
  <si>
    <t xml:space="preserve">NC</t>
  </si>
  <si>
    <t xml:space="preserve">28208, 28212, 28205</t>
  </si>
  <si>
    <t xml:space="preserve">BofA, Atrium Health, Honeywell</t>
  </si>
  <si>
    <t xml:space="preserve">Raleigh</t>
  </si>
  <si>
    <t xml:space="preserve">27610, 27603, 27609</t>
  </si>
  <si>
    <t xml:space="preserve">Red Hat/IBM, Cisco, WakeMed</t>
  </si>
  <si>
    <t xml:space="preserve">Salt Lake City</t>
  </si>
  <si>
    <t xml:space="preserve">UT</t>
  </si>
  <si>
    <t xml:space="preserve">84116, 84104, 84107</t>
  </si>
  <si>
    <t xml:space="preserve">Intermountain, U of Utah, Delta</t>
  </si>
  <si>
    <t xml:space="preserve">Huntsville</t>
  </si>
  <si>
    <t xml:space="preserve">AL</t>
  </si>
  <si>
    <t xml:space="preserve">35805, 35810, 35801</t>
  </si>
  <si>
    <t xml:space="preserve">Redstone Arsenal, Boeing, Northrop</t>
  </si>
  <si>
    <t xml:space="preserve">Greenville</t>
  </si>
  <si>
    <t xml:space="preserve">SC</t>
  </si>
  <si>
    <t xml:space="preserve">29607, 29611, 29605</t>
  </si>
  <si>
    <t xml:space="preserve">Prisma Health, BMW, Michelin</t>
  </si>
  <si>
    <t xml:space="preserve">Boise</t>
  </si>
  <si>
    <t xml:space="preserve">ID</t>
  </si>
  <si>
    <t xml:space="preserve">83704, 83705, 83713</t>
  </si>
  <si>
    <t xml:space="preserve">Micron, St Lukes, HP</t>
  </si>
  <si>
    <t xml:space="preserve">Colorado Springs</t>
  </si>
  <si>
    <t xml:space="preserve">CO</t>
  </si>
  <si>
    <t xml:space="preserve">80909, 80910, 80907</t>
  </si>
  <si>
    <t xml:space="preserve">Fort Carson, Lockheed, UC Health</t>
  </si>
  <si>
    <t xml:space="preserve">Spokane</t>
  </si>
  <si>
    <t xml:space="preserve">WA</t>
  </si>
  <si>
    <t xml:space="preserve">99207, 99202, 99205</t>
  </si>
  <si>
    <t xml:space="preserve">Providence, Fairchild AFB, Gonzaga</t>
  </si>
  <si>
    <t xml:space="preserve">Tucson</t>
  </si>
  <si>
    <t xml:space="preserve">85710, 85705, 85713</t>
  </si>
  <si>
    <t xml:space="preserve">Raytheon/RTX, U of Arizona</t>
  </si>
  <si>
    <t xml:space="preserve">Chattanooga</t>
  </si>
  <si>
    <t xml:space="preserve">37404, 37411, 37415</t>
  </si>
  <si>
    <t xml:space="preserve">VW (4,500), Erlanger, BCBS TN</t>
  </si>
  <si>
    <t xml:space="preserve">Knoxville</t>
  </si>
  <si>
    <t xml:space="preserve">37916, 37912, 37920</t>
  </si>
  <si>
    <t xml:space="preserve">Oak Ridge, UT, DENSO</t>
  </si>
  <si>
    <t xml:space="preserve">Pensacola</t>
  </si>
  <si>
    <t xml:space="preserve">32506, 32514, 32503</t>
  </si>
  <si>
    <t xml:space="preserve">NAS Pensacola, Baptist Health</t>
  </si>
  <si>
    <t xml:space="preserve">Savannah</t>
  </si>
  <si>
    <t xml:space="preserve">GA</t>
  </si>
  <si>
    <t xml:space="preserve">31419, 31404, 31405</t>
  </si>
  <si>
    <t xml:space="preserve">Gulfstream, Port of Savannah</t>
  </si>
  <si>
    <t xml:space="preserve">Augusta</t>
  </si>
  <si>
    <t xml:space="preserve">30909, 30907, 30906</t>
  </si>
  <si>
    <t xml:space="preserve">Fort Eisenhower, Augusta U</t>
  </si>
  <si>
    <t xml:space="preserve">Columbia</t>
  </si>
  <si>
    <t xml:space="preserve">29223, 29210, 29201</t>
  </si>
  <si>
    <t xml:space="preserve">USC, Fort Jackson, Prisma</t>
  </si>
  <si>
    <t xml:space="preserve">Myrtle Beach</t>
  </si>
  <si>
    <t xml:space="preserve">29577, 29579, 29582</t>
  </si>
  <si>
    <t xml:space="preserve">Tourism, Coastal Carolina U</t>
  </si>
  <si>
    <t xml:space="preserve">El Paso</t>
  </si>
  <si>
    <t xml:space="preserve">79924, 79936, 79912</t>
  </si>
  <si>
    <t xml:space="preserve">Fort Bliss, UTEP, Raytheon</t>
  </si>
  <si>
    <t xml:space="preserve">Lubbock</t>
  </si>
  <si>
    <t xml:space="preserve">79407, 79416, 79412</t>
  </si>
  <si>
    <t xml:space="preserve">Texas Tech, UMC, Covenant</t>
  </si>
  <si>
    <t xml:space="preserve">Amarillo</t>
  </si>
  <si>
    <t xml:space="preserve">79109, 79106, 79110</t>
  </si>
  <si>
    <t xml:space="preserve">Pantex Nuclear, BSA, Tyson</t>
  </si>
  <si>
    <t xml:space="preserve">Midland</t>
  </si>
  <si>
    <t xml:space="preserve">79701, 79703, 79705</t>
  </si>
  <si>
    <t xml:space="preserve">Exxon/Pioneer, Diamondback</t>
  </si>
  <si>
    <t xml:space="preserve">Oklahoma City</t>
  </si>
  <si>
    <t xml:space="preserve">OK</t>
  </si>
  <si>
    <t xml:space="preserve">73112, 73109, 73034</t>
  </si>
  <si>
    <t xml:space="preserve">Tinker AFB, Paycom, Devon</t>
  </si>
  <si>
    <t xml:space="preserve">Little Rock</t>
  </si>
  <si>
    <t xml:space="preserve">AR</t>
  </si>
  <si>
    <t xml:space="preserve">72204, 72116, 72209</t>
  </si>
  <si>
    <t xml:space="preserve">UAMS, Stephens, Baptist</t>
  </si>
  <si>
    <t xml:space="preserve">Memphis</t>
  </si>
  <si>
    <t xml:space="preserve">38115, 38118, 38128</t>
  </si>
  <si>
    <t xml:space="preserve">FedEx HQ, St. Jude, AutoZone</t>
  </si>
  <si>
    <t xml:space="preserve">Birmingham</t>
  </si>
  <si>
    <t xml:space="preserve">35209, 35211, 35205</t>
  </si>
  <si>
    <t xml:space="preserve">UAB Health, Regions, Mercedes</t>
  </si>
  <si>
    <t xml:space="preserve">Mobile</t>
  </si>
  <si>
    <t xml:space="preserve">36606, 36609, 36608</t>
  </si>
  <si>
    <t xml:space="preserve">Austal, Airbus, USA Health</t>
  </si>
  <si>
    <t xml:space="preserve">THESIS 3: THE HIDDEN COST MOAT</t>
  </si>
  <si>
    <t xml:space="preserve">Insurance Cost (inverse)</t>
  </si>
  <si>
    <t xml:space="preserve">Property Tax Rate (inverse)</t>
  </si>
  <si>
    <t xml:space="preserve">Cap Rate</t>
  </si>
  <si>
    <t xml:space="preserve">FEMA Risk (inverse)</t>
  </si>
  <si>
    <t xml:space="preserve">BENCHMARK: Texas (Houston)</t>
  </si>
  <si>
    <t xml:space="preserve">Insurance: $1,200/unit/yr | Tax: 1.60% | Income Tax: 0%</t>
  </si>
  <si>
    <t xml:space="preserve">Insurance $/Unit/Yr</t>
  </si>
  <si>
    <t xml:space="preserve">Eff Prop Tax %</t>
  </si>
  <si>
    <t xml:space="preserve">FEMA Risk (1-5)</t>
  </si>
  <si>
    <t xml:space="preserve">State Income Tax %</t>
  </si>
  <si>
    <t xml:space="preserve">Annual OpEx Adv vs TX ($)</t>
  </si>
  <si>
    <t xml:space="preserve">Ins Score</t>
  </si>
  <si>
    <t xml:space="preserve">Tax Score</t>
  </si>
  <si>
    <t xml:space="preserve">Cap Score</t>
  </si>
  <si>
    <t xml:space="preserve">Risk Score</t>
  </si>
  <si>
    <t xml:space="preserve">Tulsa</t>
  </si>
  <si>
    <t xml:space="preserve">74105, 74112, 74135</t>
  </si>
  <si>
    <t xml:space="preserve">73107, 73112, 73118</t>
  </si>
  <si>
    <t xml:space="preserve">Fayetteville</t>
  </si>
  <si>
    <t xml:space="preserve">72701, 72703, 72756</t>
  </si>
  <si>
    <t xml:space="preserve">72204, 72205, 72209</t>
  </si>
  <si>
    <t xml:space="preserve">Fort Smith</t>
  </si>
  <si>
    <t xml:space="preserve">72901, 72903, 72908</t>
  </si>
  <si>
    <t xml:space="preserve">Jonesboro</t>
  </si>
  <si>
    <t xml:space="preserve">72401, 72404</t>
  </si>
  <si>
    <t xml:space="preserve">35205, 35222, 35210</t>
  </si>
  <si>
    <t xml:space="preserve">Montgomery</t>
  </si>
  <si>
    <t xml:space="preserve">36104, 36106, 36116</t>
  </si>
  <si>
    <t xml:space="preserve">36606, 36608, 36609</t>
  </si>
  <si>
    <t xml:space="preserve">35801, 35805, 35816</t>
  </si>
  <si>
    <t xml:space="preserve">83702, 83704, 83705</t>
  </si>
  <si>
    <t xml:space="preserve">Twin Falls</t>
  </si>
  <si>
    <t xml:space="preserve">83301, 83338</t>
  </si>
  <si>
    <t xml:space="preserve">Pocatello</t>
  </si>
  <si>
    <t xml:space="preserve">83201, 83204</t>
  </si>
  <si>
    <t xml:space="preserve">Las Vegas</t>
  </si>
  <si>
    <t xml:space="preserve">NV</t>
  </si>
  <si>
    <t xml:space="preserve">89101, 89104, 89107</t>
  </si>
  <si>
    <t xml:space="preserve">Reno</t>
  </si>
  <si>
    <t xml:space="preserve">89502, 89503, 89512</t>
  </si>
  <si>
    <t xml:space="preserve">Carson City</t>
  </si>
  <si>
    <t xml:space="preserve">89701, 89703, 89706</t>
  </si>
  <si>
    <t xml:space="preserve">Sioux Falls</t>
  </si>
  <si>
    <t xml:space="preserve">SD</t>
  </si>
  <si>
    <t xml:space="preserve">57103, 57104, 57106</t>
  </si>
  <si>
    <t xml:space="preserve">Rapid City</t>
  </si>
  <si>
    <t xml:space="preserve">57701, 57702, 57703</t>
  </si>
  <si>
    <t xml:space="preserve">Cheyenne</t>
  </si>
  <si>
    <t xml:space="preserve">WY</t>
  </si>
  <si>
    <t xml:space="preserve">82001, 82007, 82009</t>
  </si>
  <si>
    <t xml:space="preserve">Casper</t>
  </si>
  <si>
    <t xml:space="preserve">82601, 82604, 82609</t>
  </si>
  <si>
    <t xml:space="preserve">Billings</t>
  </si>
  <si>
    <t xml:space="preserve">MT</t>
  </si>
  <si>
    <t xml:space="preserve">59101, 59102, 59105</t>
  </si>
  <si>
    <t xml:space="preserve">Missoula</t>
  </si>
  <si>
    <t xml:space="preserve">59801, 59802, 59808</t>
  </si>
  <si>
    <t xml:space="preserve">Provo</t>
  </si>
  <si>
    <t xml:space="preserve">84601, 84604, 84606</t>
  </si>
  <si>
    <t xml:space="preserve">Ogden</t>
  </si>
  <si>
    <t xml:space="preserve">84401, 84403, 84404</t>
  </si>
  <si>
    <t xml:space="preserve">84102, 84104, 84116</t>
  </si>
  <si>
    <t xml:space="preserve">Fargo</t>
  </si>
  <si>
    <t xml:space="preserve">ND</t>
  </si>
  <si>
    <t xml:space="preserve">58102, 58103, 58104</t>
  </si>
  <si>
    <t xml:space="preserve">Bismarck</t>
  </si>
  <si>
    <t xml:space="preserve">58501, 58503, 58504</t>
  </si>
  <si>
    <t xml:space="preserve">Idaho Falls</t>
  </si>
  <si>
    <t xml:space="preserve">83401, 83402, 83404</t>
  </si>
  <si>
    <t xml:space="preserve">Lawton</t>
  </si>
  <si>
    <t xml:space="preserve">73501, 73505, 73507</t>
  </si>
  <si>
    <t xml:space="preserve">Stillwater</t>
  </si>
  <si>
    <t xml:space="preserve">74074, 74075</t>
  </si>
  <si>
    <t xml:space="preserve">DATA SOURCES &amp; REFRESH SCHEDULE</t>
  </si>
  <si>
    <t xml:space="preserve">Source</t>
  </si>
  <si>
    <t xml:space="preserve">What It Covers</t>
  </si>
  <si>
    <t xml:space="preserve">Free/Paid</t>
  </si>
  <si>
    <t xml:space="preserve">Est. Annual Cost</t>
  </si>
  <si>
    <t xml:space="preserve">Update Freq</t>
  </si>
  <si>
    <t xml:space="preserve">ZIP-Level?</t>
  </si>
  <si>
    <t xml:space="preserve">URL / Access</t>
  </si>
  <si>
    <t xml:space="preserve">CoStar</t>
  </si>
  <si>
    <t xml:space="preserve">Vacancy, rents, comps, supply, sales</t>
  </si>
  <si>
    <t xml:space="preserve">Paid</t>
  </si>
  <si>
    <t xml:space="preserve">$15K-$40K</t>
  </si>
  <si>
    <t xml:space="preserve">Continuous</t>
  </si>
  <si>
    <t xml:space="preserve">Submarket</t>
  </si>
  <si>
    <t xml:space="preserve">costar.com</t>
  </si>
  <si>
    <t xml:space="preserve">Yardi Matrix</t>
  </si>
  <si>
    <t xml:space="preserve">Rents, occupancy, OpEx, ownership</t>
  </si>
  <si>
    <t xml:space="preserve">$10K-$30K</t>
  </si>
  <si>
    <t xml:space="preserve">Monthly</t>
  </si>
  <si>
    <t xml:space="preserve">yardimatrix.com</t>
  </si>
  <si>
    <t xml:space="preserve">HelloData.ai</t>
  </si>
  <si>
    <t xml:space="preserve">Rent comps from 250K+ sources</t>
  </si>
  <si>
    <t xml:space="preserve">$3K-$12K</t>
  </si>
  <si>
    <t xml:space="preserve">Daily</t>
  </si>
  <si>
    <t xml:space="preserve">Property</t>
  </si>
  <si>
    <t xml:space="preserve">hellodata.ai</t>
  </si>
  <si>
    <t xml:space="preserve">CRED iQ</t>
  </si>
  <si>
    <t xml:space="preserve">CMBS distress, maturities, contacts</t>
  </si>
  <si>
    <t xml:space="preserve">$5K-$20K</t>
  </si>
  <si>
    <t xml:space="preserve">cred-iq.com</t>
  </si>
  <si>
    <t xml:space="preserve">PropStream</t>
  </si>
  <si>
    <t xml:space="preserve">Ownership, tax, mortgage, skip trace</t>
  </si>
  <si>
    <t xml:space="preserve">~$1,200/yr</t>
  </si>
  <si>
    <t xml:space="preserve">Parcel/ZIP</t>
  </si>
  <si>
    <t xml:space="preserve">propstream.com</t>
  </si>
  <si>
    <t xml:space="preserve">Marcus &amp; Millichap</t>
  </si>
  <si>
    <t xml:space="preserve">Cap rates, vacancy, rent trends</t>
  </si>
  <si>
    <t xml:space="preserve">Free</t>
  </si>
  <si>
    <t xml:space="preserve">$0</t>
  </si>
  <si>
    <t xml:space="preserve">Quarterly</t>
  </si>
  <si>
    <t xml:space="preserve">marcusmillichap.com/research</t>
  </si>
  <si>
    <t xml:space="preserve">CBRE / Cushman Reports</t>
  </si>
  <si>
    <t xml:space="preserve">Market outlook, cap rates</t>
  </si>
  <si>
    <t xml:space="preserve">cbre.com/insights</t>
  </si>
  <si>
    <t xml:space="preserve">Freddie Mac MF Research</t>
  </si>
  <si>
    <t xml:space="preserve">Cap rates, supply/demand</t>
  </si>
  <si>
    <t xml:space="preserve">mf.freddiemac.com</t>
  </si>
  <si>
    <t xml:space="preserve">Fannie Mae MF Research</t>
  </si>
  <si>
    <t xml:space="preserve">Expenses, insurance, commentary</t>
  </si>
  <si>
    <t xml:space="preserve">fanniemae.com</t>
  </si>
  <si>
    <t xml:space="preserve">Apartment List</t>
  </si>
  <si>
    <t xml:space="preserve">Rent estimates, trend reports</t>
  </si>
  <si>
    <t xml:space="preserve">apartmentlist.com/research</t>
  </si>
  <si>
    <t xml:space="preserve">RentCafe (Yardi)</t>
  </si>
  <si>
    <t xml:space="preserve">Monthly apartment market reports</t>
  </si>
  <si>
    <t xml:space="preserve">City</t>
  </si>
  <si>
    <t xml:space="preserve">rentcafe.com/blog</t>
  </si>
  <si>
    <t xml:space="preserve">HUD USER</t>
  </si>
  <si>
    <t xml:space="preserve">Fair Market Rents, income limits</t>
  </si>
  <si>
    <t xml:space="preserve">Annual</t>
  </si>
  <si>
    <t xml:space="preserve">ZIP</t>
  </si>
  <si>
    <t xml:space="preserve">huduser.gov</t>
  </si>
  <si>
    <t xml:space="preserve">BLS CES</t>
  </si>
  <si>
    <t xml:space="preserve">Monthly payroll employment by metro</t>
  </si>
  <si>
    <t xml:space="preserve">MSA</t>
  </si>
  <si>
    <t xml:space="preserve">bls.gov/ces</t>
  </si>
  <si>
    <t xml:space="preserve">BLS QCEW</t>
  </si>
  <si>
    <t xml:space="preserve">Employment + wages by county/industry</t>
  </si>
  <si>
    <t xml:space="preserve">County</t>
  </si>
  <si>
    <t xml:space="preserve">bls.gov/qcew</t>
  </si>
  <si>
    <t xml:space="preserve">Census ACS</t>
  </si>
  <si>
    <t xml:space="preserve">Income, demographics, housing</t>
  </si>
  <si>
    <t xml:space="preserve">ZIP (ZCTA)</t>
  </si>
  <si>
    <t xml:space="preserve">data.census.gov</t>
  </si>
  <si>
    <t xml:space="preserve">Census Building Permits</t>
  </si>
  <si>
    <t xml:space="preserve">MF permit starts</t>
  </si>
  <si>
    <t xml:space="preserve">MSA/County</t>
  </si>
  <si>
    <t xml:space="preserve">census.gov/construction</t>
  </si>
  <si>
    <t xml:space="preserve">IRS SOI Migration</t>
  </si>
  <si>
    <t xml:space="preserve">ZIP-to-ZIP migration flows</t>
  </si>
  <si>
    <t xml:space="preserve">Annual (2yr lag)</t>
  </si>
  <si>
    <t xml:space="preserve">irs.gov/statistics/soi-tax-stats</t>
  </si>
  <si>
    <t xml:space="preserve">FEMA National Risk Index</t>
  </si>
  <si>
    <t xml:space="preserve">18 natural hazard risk scores</t>
  </si>
  <si>
    <t xml:space="preserve">Periodic</t>
  </si>
  <si>
    <t xml:space="preserve">Census Tract</t>
  </si>
  <si>
    <t xml:space="preserve">hazards.fema.gov/nri</t>
  </si>
  <si>
    <t xml:space="preserve">FEMA Flood Maps</t>
  </si>
  <si>
    <t xml:space="preserve">Official flood zone maps</t>
  </si>
  <si>
    <t xml:space="preserve">Address</t>
  </si>
  <si>
    <t xml:space="preserve">msc.fema.gov</t>
  </si>
  <si>
    <t xml:space="preserve">First Street Risk Factor</t>
  </si>
  <si>
    <t xml:space="preserve">Property flood/fire/wind/heat risk</t>
  </si>
  <si>
    <t xml:space="preserve">Free (basic)</t>
  </si>
  <si>
    <t xml:space="preserve">riskfactor.com</t>
  </si>
  <si>
    <t xml:space="preserve">Tax Foundation</t>
  </si>
  <si>
    <t xml:space="preserve">State property tax rate rankings</t>
  </si>
  <si>
    <t xml:space="preserve">taxfoundation.org</t>
  </si>
  <si>
    <t xml:space="preserve">ATTOM Property Tax</t>
  </si>
  <si>
    <t xml:space="preserve">158M+ parcel tax assessments</t>
  </si>
  <si>
    <t xml:space="preserve">Custom (API)</t>
  </si>
  <si>
    <t xml:space="preserve">Parcel</t>
  </si>
  <si>
    <t xml:space="preserve">attomdata.com</t>
  </si>
  <si>
    <t xml:space="preserve">Trepp</t>
  </si>
  <si>
    <t xml:space="preserve">CMBS delinquency, special servicing</t>
  </si>
  <si>
    <t xml:space="preserve">$25K-$100K+</t>
  </si>
  <si>
    <t xml:space="preserve">trepp.com</t>
  </si>
  <si>
    <t xml:space="preserve">MBA CRE Maturity Report</t>
  </si>
  <si>
    <t xml:space="preserve">Loan maturities by lender/type</t>
  </si>
  <si>
    <t xml:space="preserve">Membership</t>
  </si>
  <si>
    <t xml:space="preserve">National</t>
  </si>
  <si>
    <t xml:space="preserve">mba.org</t>
  </si>
  <si>
    <t xml:space="preserve">FRED (St. Louis Fed)</t>
  </si>
  <si>
    <t xml:space="preserve">CRE bank delinquency rates</t>
  </si>
  <si>
    <t xml:space="preserve">fred.stlouisfed.org</t>
  </si>
  <si>
    <t xml:space="preserve">RECOMMENDED PLATFORM TIERS</t>
  </si>
  <si>
    <t xml:space="preserve">Budget ($5K-$15K/yr)</t>
  </si>
  <si>
    <t xml:space="preserve">HelloData.ai + PropStream + all free gov sources (Census, BLS, FEMA, HUD, FRED)</t>
  </si>
  <si>
    <t xml:space="preserve">Mid-tier ($20K-$50K/yr)</t>
  </si>
  <si>
    <t xml:space="preserve">Yardi Matrix + CRED iQ + PropStream + free sources</t>
  </si>
  <si>
    <t xml:space="preserve">Full ($75K-$150K+/yr)</t>
  </si>
  <si>
    <t xml:space="preserve">CoStar + Trepp + MSCI RCA + Yardi Matrix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</si>
</sst>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"/>
    <numFmt numFmtId="167" formatCode="\$#,##0"/>
    <numFmt numFmtId="168" formatCode="0.00"/>
    <numFmt numFmtId="169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1"/>
      <color rgb="FFEC4D2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color rgb="FFFF0000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12"/>
      <color rgb="FFEC4D2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B2A4A"/>
        <bgColor rgb="FF003366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D9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C4D22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253C8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3C80"/>
    <pageSetUpPr fitToPage="false"/>
  </sheetPr>
  <dimension ref="A1:V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45"/>
    <col collapsed="false" customWidth="true" hidden="false" outlineLevel="0" max="20" min="15" style="0" width="8"/>
    <col collapsed="false" customWidth="true" hidden="false" outlineLevel="0" max="21" min="21" style="0" width="10"/>
    <col collapsed="false" customWidth="true" hidden="false" outlineLevel="0" max="22" min="22" style="0" width="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2</v>
      </c>
      <c r="B4" s="4" t="n">
        <v>0.25</v>
      </c>
      <c r="C4" s="3" t="s">
        <v>3</v>
      </c>
      <c r="D4" s="4" t="n">
        <v>0.25</v>
      </c>
      <c r="E4" s="3" t="s">
        <v>4</v>
      </c>
      <c r="F4" s="4" t="n">
        <v>0.2</v>
      </c>
      <c r="G4" s="3" t="s">
        <v>5</v>
      </c>
      <c r="H4" s="4" t="n">
        <v>0.15</v>
      </c>
      <c r="I4" s="3" t="s">
        <v>6</v>
      </c>
      <c r="J4" s="4" t="n">
        <v>0.1</v>
      </c>
      <c r="K4" s="3" t="s">
        <v>7</v>
      </c>
      <c r="L4" s="4" t="n">
        <v>0.05</v>
      </c>
    </row>
    <row r="5" customFormat="false" ht="15" hidden="false" customHeight="false" outlineLevel="0" collapsed="false">
      <c r="A5" s="3" t="s">
        <v>8</v>
      </c>
      <c r="B5" s="5" t="n">
        <f aca="false">B4+D4+F4+H4+J4+L4</f>
        <v>1</v>
      </c>
    </row>
    <row r="7" customFormat="false" ht="52.2" hidden="false" customHeight="false" outlineLevel="0" collapsed="false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6" t="s">
        <v>18</v>
      </c>
      <c r="K7" s="6" t="s">
        <v>19</v>
      </c>
      <c r="L7" s="6" t="s">
        <v>20</v>
      </c>
      <c r="M7" s="6" t="s">
        <v>21</v>
      </c>
      <c r="N7" s="6" t="s">
        <v>22</v>
      </c>
      <c r="O7" s="6" t="s">
        <v>23</v>
      </c>
      <c r="P7" s="6" t="s">
        <v>24</v>
      </c>
      <c r="Q7" s="6" t="s">
        <v>25</v>
      </c>
      <c r="R7" s="6" t="s">
        <v>26</v>
      </c>
      <c r="S7" s="6" t="s">
        <v>27</v>
      </c>
      <c r="T7" s="6" t="s">
        <v>28</v>
      </c>
      <c r="U7" s="6" t="s">
        <v>29</v>
      </c>
      <c r="V7" s="6" t="s">
        <v>30</v>
      </c>
    </row>
    <row r="8" customFormat="false" ht="15" hidden="false" customHeight="false" outlineLevel="0" collapsed="false">
      <c r="A8" s="7" t="n">
        <v>1</v>
      </c>
      <c r="B8" s="7" t="s">
        <v>31</v>
      </c>
      <c r="C8" s="8" t="s">
        <v>32</v>
      </c>
      <c r="D8" s="8" t="s">
        <v>33</v>
      </c>
      <c r="E8" s="9" t="n">
        <v>97</v>
      </c>
      <c r="F8" s="9" t="n">
        <v>1.5</v>
      </c>
      <c r="G8" s="9" t="n">
        <v>4.4</v>
      </c>
      <c r="H8" s="9" t="n">
        <v>1.75</v>
      </c>
      <c r="I8" s="9" t="n">
        <v>1.6</v>
      </c>
      <c r="J8" s="10" t="n">
        <v>92500</v>
      </c>
      <c r="K8" s="10" t="n">
        <v>206100</v>
      </c>
      <c r="L8" s="9" t="n">
        <v>7</v>
      </c>
      <c r="M8" s="10" t="n">
        <v>72000</v>
      </c>
      <c r="N8" s="8" t="s">
        <v>34</v>
      </c>
      <c r="O8" s="9" t="n">
        <f aca="false">(E8-MIN(E$8:E$45))/(MAX(E$8:E$45)-MIN(E$8:E$45))*10</f>
        <v>8.26086956521739</v>
      </c>
      <c r="P8" s="9" t="n">
        <f aca="false">(MAX(F$8:F$45)-F8)/(MAX(F$8:F$45)-MIN(F$8:F$45))*10</f>
        <v>7.79661016949153</v>
      </c>
      <c r="Q8" s="9" t="n">
        <f aca="false">(G8-MIN(G$8:G$45))/(MAX(G$8:G$45)-MIN(G$8:G$45))*10</f>
        <v>3.77777777777778</v>
      </c>
      <c r="R8" s="9" t="n">
        <f aca="false">(H8-MIN(H$8:H$45))/(MAX(H$8:H$45)-MIN(H$8:H$45))*10</f>
        <v>5.85106382978723</v>
      </c>
      <c r="S8" s="9" t="n">
        <f aca="false">(I8-MIN(I$8:I$45))/(MAX(I$8:I$45)-MIN(I$8:I$45))*10</f>
        <v>3.33333333333333</v>
      </c>
      <c r="T8" s="9" t="n">
        <f aca="false">(K8-J8)/K8*10</f>
        <v>5.51188743328481</v>
      </c>
      <c r="U8" s="11" t="n">
        <f aca="false">O8*B$4+P8*D$4+Q8*F$4+R8*H$4+S8*J$4+T8*L$4</f>
        <v>6.25651276869844</v>
      </c>
      <c r="V8" s="8" t="n">
        <f aca="false">RANK(U8,U$8:U$45,0)</f>
        <v>5</v>
      </c>
    </row>
    <row r="9" customFormat="false" ht="15" hidden="false" customHeight="false" outlineLevel="0" collapsed="false">
      <c r="A9" s="12" t="n">
        <v>2</v>
      </c>
      <c r="B9" s="12" t="s">
        <v>35</v>
      </c>
      <c r="C9" s="13" t="s">
        <v>36</v>
      </c>
      <c r="D9" s="13" t="s">
        <v>37</v>
      </c>
      <c r="E9" s="14" t="n">
        <v>95</v>
      </c>
      <c r="F9" s="14" t="n">
        <v>3.5</v>
      </c>
      <c r="G9" s="14" t="n">
        <v>4.7</v>
      </c>
      <c r="H9" s="14" t="n">
        <v>2.3</v>
      </c>
      <c r="I9" s="14" t="n">
        <v>0.9</v>
      </c>
      <c r="J9" s="15" t="n">
        <v>87500</v>
      </c>
      <c r="K9" s="15" t="n">
        <v>206100</v>
      </c>
      <c r="L9" s="14" t="n">
        <v>7</v>
      </c>
      <c r="M9" s="15" t="n">
        <v>72000</v>
      </c>
      <c r="N9" s="13" t="s">
        <v>38</v>
      </c>
      <c r="O9" s="14" t="n">
        <f aca="false">(E9-MIN(E$8:E$45))/(MAX(E$8:E$45)-MIN(E$8:E$45))*10</f>
        <v>5.36231884057971</v>
      </c>
      <c r="P9" s="14" t="n">
        <f aca="false">(MAX(F$8:F$45)-F9)/(MAX(F$8:F$45)-MIN(F$8:F$45))*10</f>
        <v>4.40677966101695</v>
      </c>
      <c r="Q9" s="14" t="n">
        <f aca="false">(G9-MIN(G$8:G$45))/(MAX(G$8:G$45)-MIN(G$8:G$45))*10</f>
        <v>4.11111111111111</v>
      </c>
      <c r="R9" s="14" t="n">
        <f aca="false">(H9-MIN(H$8:H$45))/(MAX(H$8:H$45)-MIN(H$8:H$45))*10</f>
        <v>7.02127659574468</v>
      </c>
      <c r="S9" s="14" t="n">
        <f aca="false">(I9-MIN(I$8:I$45))/(MAX(I$8:I$45)-MIN(I$8:I$45))*10</f>
        <v>2.27272727272727</v>
      </c>
      <c r="T9" s="14" t="n">
        <f aca="false">(K9-J9)/K9*10</f>
        <v>5.75448811256671</v>
      </c>
      <c r="U9" s="16" t="n">
        <f aca="false">O9*B$4+P9*D$4+Q9*F$4+R9*H$4+S9*J$4+T9*L$4</f>
        <v>4.83268546988415</v>
      </c>
      <c r="V9" s="13" t="n">
        <f aca="false">RANK(U9,U$8:U$45,0)</f>
        <v>22</v>
      </c>
    </row>
    <row r="10" customFormat="false" ht="15" hidden="false" customHeight="false" outlineLevel="0" collapsed="false">
      <c r="A10" s="7" t="n">
        <v>3</v>
      </c>
      <c r="B10" s="7" t="s">
        <v>39</v>
      </c>
      <c r="C10" s="8" t="s">
        <v>36</v>
      </c>
      <c r="D10" s="8" t="s">
        <v>40</v>
      </c>
      <c r="E10" s="9" t="n">
        <v>91.3</v>
      </c>
      <c r="F10" s="9" t="n">
        <v>5</v>
      </c>
      <c r="G10" s="9" t="n">
        <v>2.4</v>
      </c>
      <c r="H10" s="9" t="n">
        <v>3.7</v>
      </c>
      <c r="I10" s="9" t="n">
        <v>1.5</v>
      </c>
      <c r="J10" s="10" t="n">
        <v>82500</v>
      </c>
      <c r="K10" s="10" t="n">
        <v>206100</v>
      </c>
      <c r="L10" s="9" t="n">
        <v>6.7</v>
      </c>
      <c r="M10" s="10" t="n">
        <v>70500</v>
      </c>
      <c r="N10" s="8" t="s">
        <v>41</v>
      </c>
      <c r="O10" s="9" t="n">
        <f aca="false">(E10-MIN(E$8:E$45))/(MAX(E$8:E$45)-MIN(E$8:E$45))*10</f>
        <v>0</v>
      </c>
      <c r="P10" s="9" t="n">
        <f aca="false">(MAX(F$8:F$45)-F10)/(MAX(F$8:F$45)-MIN(F$8:F$45))*10</f>
        <v>1.86440677966102</v>
      </c>
      <c r="Q10" s="9" t="n">
        <f aca="false">(G10-MIN(G$8:G$45))/(MAX(G$8:G$45)-MIN(G$8:G$45))*10</f>
        <v>1.55555555555556</v>
      </c>
      <c r="R10" s="9" t="n">
        <f aca="false">(H10-MIN(H$8:H$45))/(MAX(H$8:H$45)-MIN(H$8:H$45))*10</f>
        <v>10</v>
      </c>
      <c r="S10" s="9" t="n">
        <f aca="false">(I10-MIN(I$8:I$45))/(MAX(I$8:I$45)-MIN(I$8:I$45))*10</f>
        <v>3.18181818181818</v>
      </c>
      <c r="T10" s="9" t="n">
        <f aca="false">(K10-J10)/K10*10</f>
        <v>5.99708879184862</v>
      </c>
      <c r="U10" s="11" t="n">
        <f aca="false">O10*B$4+P10*D$4+Q10*F$4+R10*H$4+S10*J$4+T10*L$4</f>
        <v>2.89524906380061</v>
      </c>
      <c r="V10" s="8" t="n">
        <f aca="false">RANK(U10,U$8:U$45,0)</f>
        <v>34</v>
      </c>
    </row>
    <row r="11" customFormat="false" ht="15" hidden="false" customHeight="false" outlineLevel="0" collapsed="false">
      <c r="A11" s="12" t="n">
        <v>4</v>
      </c>
      <c r="B11" s="12" t="s">
        <v>42</v>
      </c>
      <c r="C11" s="13" t="s">
        <v>43</v>
      </c>
      <c r="D11" s="13" t="s">
        <v>44</v>
      </c>
      <c r="E11" s="14" t="n">
        <v>97.4</v>
      </c>
      <c r="F11" s="14" t="n">
        <v>1.8</v>
      </c>
      <c r="G11" s="14" t="n">
        <v>3</v>
      </c>
      <c r="H11" s="14" t="n">
        <v>2.5</v>
      </c>
      <c r="I11" s="14" t="n">
        <v>1.2</v>
      </c>
      <c r="J11" s="15" t="n">
        <v>82500</v>
      </c>
      <c r="K11" s="15" t="n">
        <v>206100</v>
      </c>
      <c r="L11" s="14" t="n">
        <v>6.5</v>
      </c>
      <c r="M11" s="15" t="n">
        <v>65000</v>
      </c>
      <c r="N11" s="13" t="s">
        <v>45</v>
      </c>
      <c r="O11" s="14" t="n">
        <f aca="false">(E11-MIN(E$8:E$45))/(MAX(E$8:E$45)-MIN(E$8:E$45))*10</f>
        <v>8.84057971014493</v>
      </c>
      <c r="P11" s="14" t="n">
        <f aca="false">(MAX(F$8:F$45)-F11)/(MAX(F$8:F$45)-MIN(F$8:F$45))*10</f>
        <v>7.28813559322034</v>
      </c>
      <c r="Q11" s="14" t="n">
        <f aca="false">(G11-MIN(G$8:G$45))/(MAX(G$8:G$45)-MIN(G$8:G$45))*10</f>
        <v>2.22222222222222</v>
      </c>
      <c r="R11" s="14" t="n">
        <f aca="false">(H11-MIN(H$8:H$45))/(MAX(H$8:H$45)-MIN(H$8:H$45))*10</f>
        <v>7.4468085106383</v>
      </c>
      <c r="S11" s="14" t="n">
        <f aca="false">(I11-MIN(I$8:I$45))/(MAX(I$8:I$45)-MIN(I$8:I$45))*10</f>
        <v>2.72727272727273</v>
      </c>
      <c r="T11" s="14" t="n">
        <f aca="false">(K11-J11)/K11*10</f>
        <v>5.99708879184862</v>
      </c>
      <c r="U11" s="16" t="n">
        <f aca="false">O11*B$4+P11*D$4+Q11*F$4+R11*H$4+S11*J$4+T11*L$4</f>
        <v>6.16622625920121</v>
      </c>
      <c r="V11" s="13" t="n">
        <f aca="false">RANK(U11,U$8:U$45,0)</f>
        <v>6</v>
      </c>
    </row>
    <row r="12" customFormat="false" ht="15" hidden="false" customHeight="false" outlineLevel="0" collapsed="false">
      <c r="A12" s="7" t="n">
        <v>5</v>
      </c>
      <c r="B12" s="7" t="s">
        <v>46</v>
      </c>
      <c r="C12" s="8" t="s">
        <v>47</v>
      </c>
      <c r="D12" s="8" t="s">
        <v>48</v>
      </c>
      <c r="E12" s="9" t="n">
        <v>95.9</v>
      </c>
      <c r="F12" s="9" t="n">
        <v>1.5</v>
      </c>
      <c r="G12" s="9" t="n">
        <v>2.9</v>
      </c>
      <c r="H12" s="9" t="n">
        <v>0.8</v>
      </c>
      <c r="I12" s="9" t="n">
        <v>0.3</v>
      </c>
      <c r="J12" s="10" t="n">
        <v>95000</v>
      </c>
      <c r="K12" s="10" t="n">
        <v>206100</v>
      </c>
      <c r="L12" s="9" t="n">
        <v>6.5</v>
      </c>
      <c r="M12" s="10" t="n">
        <v>65000</v>
      </c>
      <c r="N12" s="8" t="s">
        <v>49</v>
      </c>
      <c r="O12" s="9" t="n">
        <f aca="false">(E12-MIN(E$8:E$45))/(MAX(E$8:E$45)-MIN(E$8:E$45))*10</f>
        <v>6.66666666666667</v>
      </c>
      <c r="P12" s="9" t="n">
        <f aca="false">(MAX(F$8:F$45)-F12)/(MAX(F$8:F$45)-MIN(F$8:F$45))*10</f>
        <v>7.79661016949153</v>
      </c>
      <c r="Q12" s="9" t="n">
        <f aca="false">(G12-MIN(G$8:G$45))/(MAX(G$8:G$45)-MIN(G$8:G$45))*10</f>
        <v>2.11111111111111</v>
      </c>
      <c r="R12" s="9" t="n">
        <f aca="false">(H12-MIN(H$8:H$45))/(MAX(H$8:H$45)-MIN(H$8:H$45))*10</f>
        <v>3.82978723404255</v>
      </c>
      <c r="S12" s="9" t="n">
        <f aca="false">(I12-MIN(I$8:I$45))/(MAX(I$8:I$45)-MIN(I$8:I$45))*10</f>
        <v>1.36363636363636</v>
      </c>
      <c r="T12" s="9" t="n">
        <f aca="false">(K12-J12)/K12*10</f>
        <v>5.39058709364386</v>
      </c>
      <c r="U12" s="11" t="n">
        <f aca="false">O12*B$4+P12*D$4+Q12*F$4+R12*H$4+S12*J$4+T12*L$4</f>
        <v>5.01840250741399</v>
      </c>
      <c r="V12" s="8" t="n">
        <f aca="false">RANK(U12,U$8:U$45,0)</f>
        <v>20</v>
      </c>
    </row>
    <row r="13" customFormat="false" ht="15" hidden="false" customHeight="false" outlineLevel="0" collapsed="false">
      <c r="A13" s="12" t="n">
        <v>6</v>
      </c>
      <c r="B13" s="12" t="s">
        <v>50</v>
      </c>
      <c r="C13" s="13" t="s">
        <v>51</v>
      </c>
      <c r="D13" s="13" t="s">
        <v>52</v>
      </c>
      <c r="E13" s="14" t="n">
        <v>94.5</v>
      </c>
      <c r="F13" s="14" t="n">
        <v>3</v>
      </c>
      <c r="G13" s="14" t="n">
        <v>3.1</v>
      </c>
      <c r="H13" s="14" t="n">
        <v>1.2</v>
      </c>
      <c r="I13" s="14" t="n">
        <v>0.5</v>
      </c>
      <c r="J13" s="15" t="n">
        <v>87500</v>
      </c>
      <c r="K13" s="15" t="n">
        <v>206100</v>
      </c>
      <c r="L13" s="14" t="n">
        <v>6.5</v>
      </c>
      <c r="M13" s="15" t="n">
        <v>73000</v>
      </c>
      <c r="N13" s="13" t="s">
        <v>53</v>
      </c>
      <c r="O13" s="14" t="n">
        <f aca="false">(E13-MIN(E$8:E$45))/(MAX(E$8:E$45)-MIN(E$8:E$45))*10</f>
        <v>4.63768115942029</v>
      </c>
      <c r="P13" s="14" t="n">
        <f aca="false">(MAX(F$8:F$45)-F13)/(MAX(F$8:F$45)-MIN(F$8:F$45))*10</f>
        <v>5.25423728813559</v>
      </c>
      <c r="Q13" s="14" t="n">
        <f aca="false">(G13-MIN(G$8:G$45))/(MAX(G$8:G$45)-MIN(G$8:G$45))*10</f>
        <v>2.33333333333333</v>
      </c>
      <c r="R13" s="14" t="n">
        <f aca="false">(H13-MIN(H$8:H$45))/(MAX(H$8:H$45)-MIN(H$8:H$45))*10</f>
        <v>4.68085106382979</v>
      </c>
      <c r="S13" s="14" t="n">
        <f aca="false">(I13-MIN(I$8:I$45))/(MAX(I$8:I$45)-MIN(I$8:I$45))*10</f>
        <v>1.66666666666667</v>
      </c>
      <c r="T13" s="14" t="n">
        <f aca="false">(K13-J13)/K13*10</f>
        <v>5.75448811256671</v>
      </c>
      <c r="U13" s="16" t="n">
        <f aca="false">O13*B$4+P13*D$4+Q13*F$4+R13*H$4+S13*J$4+T13*L$4</f>
        <v>4.09616501042511</v>
      </c>
      <c r="V13" s="13" t="n">
        <f aca="false">RANK(U13,U$8:U$45,0)</f>
        <v>32</v>
      </c>
    </row>
    <row r="14" customFormat="false" ht="15" hidden="false" customHeight="false" outlineLevel="0" collapsed="false">
      <c r="A14" s="7" t="n">
        <v>7</v>
      </c>
      <c r="B14" s="7" t="s">
        <v>54</v>
      </c>
      <c r="C14" s="8" t="s">
        <v>55</v>
      </c>
      <c r="D14" s="8" t="s">
        <v>56</v>
      </c>
      <c r="E14" s="9" t="n">
        <v>93</v>
      </c>
      <c r="F14" s="9" t="n">
        <v>4</v>
      </c>
      <c r="G14" s="9" t="n">
        <v>3.7</v>
      </c>
      <c r="H14" s="9" t="n">
        <v>2.8</v>
      </c>
      <c r="I14" s="9" t="n">
        <v>6</v>
      </c>
      <c r="J14" s="10" t="n">
        <v>95000</v>
      </c>
      <c r="K14" s="10" t="n">
        <v>206100</v>
      </c>
      <c r="L14" s="9" t="n">
        <v>7</v>
      </c>
      <c r="M14" s="10" t="n">
        <v>76000</v>
      </c>
      <c r="N14" s="8" t="s">
        <v>57</v>
      </c>
      <c r="O14" s="9" t="n">
        <f aca="false">(E14-MIN(E$8:E$45))/(MAX(E$8:E$45)-MIN(E$8:E$45))*10</f>
        <v>2.46376811594203</v>
      </c>
      <c r="P14" s="9" t="n">
        <f aca="false">(MAX(F$8:F$45)-F14)/(MAX(F$8:F$45)-MIN(F$8:F$45))*10</f>
        <v>3.55932203389831</v>
      </c>
      <c r="Q14" s="9" t="n">
        <f aca="false">(G14-MIN(G$8:G$45))/(MAX(G$8:G$45)-MIN(G$8:G$45))*10</f>
        <v>3</v>
      </c>
      <c r="R14" s="9" t="n">
        <f aca="false">(H14-MIN(H$8:H$45))/(MAX(H$8:H$45)-MIN(H$8:H$45))*10</f>
        <v>8.08510638297872</v>
      </c>
      <c r="S14" s="9" t="n">
        <f aca="false">(I14-MIN(I$8:I$45))/(MAX(I$8:I$45)-MIN(I$8:I$45))*10</f>
        <v>10</v>
      </c>
      <c r="T14" s="9" t="n">
        <f aca="false">(K14-J14)/K14*10</f>
        <v>5.39058709364386</v>
      </c>
      <c r="U14" s="11" t="n">
        <f aca="false">O14*B$4+P14*D$4+Q14*F$4+R14*H$4+S14*J$4+T14*L$4</f>
        <v>4.58806784958909</v>
      </c>
      <c r="V14" s="8" t="n">
        <f aca="false">RANK(U14,U$8:U$45,0)</f>
        <v>26</v>
      </c>
    </row>
    <row r="15" customFormat="false" ht="15" hidden="false" customHeight="false" outlineLevel="0" collapsed="false">
      <c r="A15" s="12" t="n">
        <v>8</v>
      </c>
      <c r="B15" s="12" t="s">
        <v>58</v>
      </c>
      <c r="C15" s="13" t="s">
        <v>59</v>
      </c>
      <c r="D15" s="13" t="s">
        <v>60</v>
      </c>
      <c r="E15" s="14" t="n">
        <v>93.5</v>
      </c>
      <c r="F15" s="14" t="n">
        <v>6.1</v>
      </c>
      <c r="G15" s="14" t="n">
        <v>3.6</v>
      </c>
      <c r="H15" s="14" t="n">
        <v>1</v>
      </c>
      <c r="I15" s="14" t="n">
        <v>0.8</v>
      </c>
      <c r="J15" s="15" t="n">
        <v>87500</v>
      </c>
      <c r="K15" s="15" t="n">
        <v>206100</v>
      </c>
      <c r="L15" s="14" t="n">
        <v>7</v>
      </c>
      <c r="M15" s="15" t="n">
        <v>75000</v>
      </c>
      <c r="N15" s="13" t="s">
        <v>61</v>
      </c>
      <c r="O15" s="14" t="n">
        <f aca="false">(E15-MIN(E$8:E$45))/(MAX(E$8:E$45)-MIN(E$8:E$45))*10</f>
        <v>3.18840579710145</v>
      </c>
      <c r="P15" s="14" t="n">
        <f aca="false">(MAX(F$8:F$45)-F15)/(MAX(F$8:F$45)-MIN(F$8:F$45))*10</f>
        <v>0</v>
      </c>
      <c r="Q15" s="14" t="n">
        <f aca="false">(G15-MIN(G$8:G$45))/(MAX(G$8:G$45)-MIN(G$8:G$45))*10</f>
        <v>2.88888888888889</v>
      </c>
      <c r="R15" s="14" t="n">
        <f aca="false">(H15-MIN(H$8:H$45))/(MAX(H$8:H$45)-MIN(H$8:H$45))*10</f>
        <v>4.25531914893617</v>
      </c>
      <c r="S15" s="14" t="n">
        <f aca="false">(I15-MIN(I$8:I$45))/(MAX(I$8:I$45)-MIN(I$8:I$45))*10</f>
        <v>2.12121212121212</v>
      </c>
      <c r="T15" s="14" t="n">
        <f aca="false">(K15-J15)/K15*10</f>
        <v>5.75448811256671</v>
      </c>
      <c r="U15" s="16" t="n">
        <f aca="false">O15*B$4+P15*D$4+Q15*F$4+R15*H$4+S15*J$4+T15*L$4</f>
        <v>2.51302271714311</v>
      </c>
      <c r="V15" s="13" t="n">
        <f aca="false">RANK(U15,U$8:U$45,0)</f>
        <v>38</v>
      </c>
    </row>
    <row r="16" customFormat="false" ht="15" hidden="false" customHeight="false" outlineLevel="0" collapsed="false">
      <c r="A16" s="7" t="n">
        <v>9</v>
      </c>
      <c r="B16" s="7" t="s">
        <v>62</v>
      </c>
      <c r="C16" s="8" t="s">
        <v>63</v>
      </c>
      <c r="D16" s="8" t="s">
        <v>64</v>
      </c>
      <c r="E16" s="9" t="n">
        <v>93.8</v>
      </c>
      <c r="F16" s="9" t="n">
        <v>2.3</v>
      </c>
      <c r="G16" s="9" t="n">
        <v>3.8</v>
      </c>
      <c r="H16" s="9" t="n">
        <v>1.5</v>
      </c>
      <c r="I16" s="9" t="n">
        <v>0.7</v>
      </c>
      <c r="J16" s="10" t="n">
        <v>77500</v>
      </c>
      <c r="K16" s="10" t="n">
        <v>206100</v>
      </c>
      <c r="L16" s="9" t="n">
        <v>7</v>
      </c>
      <c r="M16" s="10" t="n">
        <v>62000</v>
      </c>
      <c r="N16" s="8" t="s">
        <v>65</v>
      </c>
      <c r="O16" s="9" t="n">
        <f aca="false">(E16-MIN(E$8:E$45))/(MAX(E$8:E$45)-MIN(E$8:E$45))*10</f>
        <v>3.6231884057971</v>
      </c>
      <c r="P16" s="9" t="n">
        <f aca="false">(MAX(F$8:F$45)-F16)/(MAX(F$8:F$45)-MIN(F$8:F$45))*10</f>
        <v>6.4406779661017</v>
      </c>
      <c r="Q16" s="9" t="n">
        <f aca="false">(G16-MIN(G$8:G$45))/(MAX(G$8:G$45)-MIN(G$8:G$45))*10</f>
        <v>3.11111111111111</v>
      </c>
      <c r="R16" s="9" t="n">
        <f aca="false">(H16-MIN(H$8:H$45))/(MAX(H$8:H$45)-MIN(H$8:H$45))*10</f>
        <v>5.31914893617021</v>
      </c>
      <c r="S16" s="9" t="n">
        <f aca="false">(I16-MIN(I$8:I$45))/(MAX(I$8:I$45)-MIN(I$8:I$45))*10</f>
        <v>1.96969696969697</v>
      </c>
      <c r="T16" s="9" t="n">
        <f aca="false">(K16-J16)/K16*10</f>
        <v>6.23968947113052</v>
      </c>
      <c r="U16" s="11" t="n">
        <f aca="false">O16*B$4+P16*D$4+Q16*F$4+R16*H$4+S16*J$4+T16*L$4</f>
        <v>4.44501532614868</v>
      </c>
      <c r="V16" s="8" t="n">
        <f aca="false">RANK(U16,U$8:U$45,0)</f>
        <v>28</v>
      </c>
    </row>
    <row r="17" customFormat="false" ht="15" hidden="false" customHeight="false" outlineLevel="0" collapsed="false">
      <c r="A17" s="12" t="n">
        <v>10</v>
      </c>
      <c r="B17" s="12" t="s">
        <v>66</v>
      </c>
      <c r="C17" s="13" t="s">
        <v>67</v>
      </c>
      <c r="D17" s="13" t="s">
        <v>68</v>
      </c>
      <c r="E17" s="14" t="n">
        <v>93.2</v>
      </c>
      <c r="F17" s="14" t="n">
        <v>4.5</v>
      </c>
      <c r="G17" s="14" t="n">
        <v>1</v>
      </c>
      <c r="H17" s="14" t="n">
        <v>1.4</v>
      </c>
      <c r="I17" s="14" t="n">
        <v>2</v>
      </c>
      <c r="J17" s="15" t="n">
        <v>140000</v>
      </c>
      <c r="K17" s="15" t="n">
        <v>206100</v>
      </c>
      <c r="L17" s="14" t="n">
        <v>6</v>
      </c>
      <c r="M17" s="15" t="n">
        <v>74000</v>
      </c>
      <c r="N17" s="13" t="s">
        <v>69</v>
      </c>
      <c r="O17" s="14" t="n">
        <f aca="false">(E17-MIN(E$8:E$45))/(MAX(E$8:E$45)-MIN(E$8:E$45))*10</f>
        <v>2.7536231884058</v>
      </c>
      <c r="P17" s="14" t="n">
        <f aca="false">(MAX(F$8:F$45)-F17)/(MAX(F$8:F$45)-MIN(F$8:F$45))*10</f>
        <v>2.71186440677966</v>
      </c>
      <c r="Q17" s="14" t="n">
        <f aca="false">(G17-MIN(G$8:G$45))/(MAX(G$8:G$45)-MIN(G$8:G$45))*10</f>
        <v>0</v>
      </c>
      <c r="R17" s="14" t="n">
        <f aca="false">(H17-MIN(H$8:H$45))/(MAX(H$8:H$45)-MIN(H$8:H$45))*10</f>
        <v>5.1063829787234</v>
      </c>
      <c r="S17" s="14" t="n">
        <f aca="false">(I17-MIN(I$8:I$45))/(MAX(I$8:I$45)-MIN(I$8:I$45))*10</f>
        <v>3.93939393939394</v>
      </c>
      <c r="T17" s="14" t="n">
        <f aca="false">(K17-J17)/K17*10</f>
        <v>3.20718098010674</v>
      </c>
      <c r="U17" s="16" t="n">
        <f aca="false">O17*B$4+P17*D$4+Q17*F$4+R17*H$4+S17*J$4+T17*L$4</f>
        <v>2.68662778854961</v>
      </c>
      <c r="V17" s="13" t="n">
        <f aca="false">RANK(U17,U$8:U$45,0)</f>
        <v>36</v>
      </c>
    </row>
    <row r="18" customFormat="false" ht="15" hidden="false" customHeight="false" outlineLevel="0" collapsed="false">
      <c r="A18" s="7" t="n">
        <v>11</v>
      </c>
      <c r="B18" s="7" t="s">
        <v>70</v>
      </c>
      <c r="C18" s="8" t="s">
        <v>47</v>
      </c>
      <c r="D18" s="8" t="s">
        <v>71</v>
      </c>
      <c r="E18" s="9" t="n">
        <v>95.5</v>
      </c>
      <c r="F18" s="9" t="n">
        <v>1.5</v>
      </c>
      <c r="G18" s="9" t="n">
        <v>5</v>
      </c>
      <c r="H18" s="9" t="n">
        <v>2</v>
      </c>
      <c r="I18" s="9" t="n">
        <v>0.8</v>
      </c>
      <c r="J18" s="10" t="n">
        <v>115000</v>
      </c>
      <c r="K18" s="10" t="n">
        <v>206100</v>
      </c>
      <c r="L18" s="9" t="n">
        <v>6.5</v>
      </c>
      <c r="M18" s="10" t="n">
        <v>78000</v>
      </c>
      <c r="N18" s="8" t="s">
        <v>72</v>
      </c>
      <c r="O18" s="9" t="n">
        <f aca="false">(E18-MIN(E$8:E$45))/(MAX(E$8:E$45)-MIN(E$8:E$45))*10</f>
        <v>6.08695652173913</v>
      </c>
      <c r="P18" s="9" t="n">
        <f aca="false">(MAX(F$8:F$45)-F18)/(MAX(F$8:F$45)-MIN(F$8:F$45))*10</f>
        <v>7.79661016949153</v>
      </c>
      <c r="Q18" s="9" t="n">
        <f aca="false">(G18-MIN(G$8:G$45))/(MAX(G$8:G$45)-MIN(G$8:G$45))*10</f>
        <v>4.44444444444445</v>
      </c>
      <c r="R18" s="9" t="n">
        <f aca="false">(H18-MIN(H$8:H$45))/(MAX(H$8:H$45)-MIN(H$8:H$45))*10</f>
        <v>6.38297872340425</v>
      </c>
      <c r="S18" s="9" t="n">
        <f aca="false">(I18-MIN(I$8:I$45))/(MAX(I$8:I$45)-MIN(I$8:I$45))*10</f>
        <v>2.12121212121212</v>
      </c>
      <c r="T18" s="9" t="n">
        <f aca="false">(K18-J18)/K18*10</f>
        <v>4.42018437651625</v>
      </c>
      <c r="U18" s="11" t="n">
        <f aca="false">O18*B$4+P18*D$4+Q18*F$4+R18*H$4+S18*J$4+T18*L$4</f>
        <v>5.75035780115422</v>
      </c>
      <c r="V18" s="8" t="n">
        <f aca="false">RANK(U18,U$8:U$45,0)</f>
        <v>9</v>
      </c>
    </row>
    <row r="19" customFormat="false" ht="15" hidden="false" customHeight="false" outlineLevel="0" collapsed="false">
      <c r="A19" s="12" t="n">
        <v>12</v>
      </c>
      <c r="B19" s="12" t="s">
        <v>73</v>
      </c>
      <c r="C19" s="13" t="s">
        <v>74</v>
      </c>
      <c r="D19" s="13" t="s">
        <v>75</v>
      </c>
      <c r="E19" s="14" t="n">
        <v>92.5</v>
      </c>
      <c r="F19" s="14" t="n">
        <v>2</v>
      </c>
      <c r="G19" s="14" t="n">
        <v>2</v>
      </c>
      <c r="H19" s="14" t="n">
        <v>-0.5</v>
      </c>
      <c r="I19" s="14" t="n">
        <v>-0.6</v>
      </c>
      <c r="J19" s="15" t="n">
        <v>72500</v>
      </c>
      <c r="K19" s="15" t="n">
        <v>206100</v>
      </c>
      <c r="L19" s="14" t="n">
        <v>7.8</v>
      </c>
      <c r="M19" s="15" t="n">
        <v>66000</v>
      </c>
      <c r="N19" s="13" t="s">
        <v>76</v>
      </c>
      <c r="O19" s="14" t="n">
        <f aca="false">(E19-MIN(E$8:E$45))/(MAX(E$8:E$45)-MIN(E$8:E$45))*10</f>
        <v>1.73913043478261</v>
      </c>
      <c r="P19" s="14" t="n">
        <f aca="false">(MAX(F$8:F$45)-F19)/(MAX(F$8:F$45)-MIN(F$8:F$45))*10</f>
        <v>6.94915254237288</v>
      </c>
      <c r="Q19" s="14" t="n">
        <f aca="false">(G19-MIN(G$8:G$45))/(MAX(G$8:G$45)-MIN(G$8:G$45))*10</f>
        <v>1.11111111111111</v>
      </c>
      <c r="R19" s="14" t="n">
        <f aca="false">(H19-MIN(H$8:H$45))/(MAX(H$8:H$45)-MIN(H$8:H$45))*10</f>
        <v>1.06382978723404</v>
      </c>
      <c r="S19" s="14" t="n">
        <f aca="false">(I19-MIN(I$8:I$45))/(MAX(I$8:I$45)-MIN(I$8:I$45))*10</f>
        <v>0</v>
      </c>
      <c r="T19" s="14" t="n">
        <f aca="false">(K19-J19)/K19*10</f>
        <v>6.48229015041242</v>
      </c>
      <c r="U19" s="16" t="n">
        <f aca="false">O19*B$4+P19*D$4+Q19*F$4+R19*H$4+S19*J$4+T19*L$4</f>
        <v>2.87798194211682</v>
      </c>
      <c r="V19" s="13" t="n">
        <f aca="false">RANK(U19,U$8:U$45,0)</f>
        <v>35</v>
      </c>
    </row>
    <row r="20" customFormat="false" ht="15" hidden="false" customHeight="false" outlineLevel="0" collapsed="false">
      <c r="A20" s="7" t="n">
        <v>13</v>
      </c>
      <c r="B20" s="7" t="s">
        <v>77</v>
      </c>
      <c r="C20" s="8" t="s">
        <v>36</v>
      </c>
      <c r="D20" s="8" t="s">
        <v>78</v>
      </c>
      <c r="E20" s="9" t="n">
        <v>91.3</v>
      </c>
      <c r="F20" s="9" t="n">
        <v>3</v>
      </c>
      <c r="G20" s="9" t="n">
        <v>5.1</v>
      </c>
      <c r="H20" s="9" t="n">
        <v>-1</v>
      </c>
      <c r="I20" s="9" t="n">
        <v>-0.6</v>
      </c>
      <c r="J20" s="10" t="n">
        <v>62500</v>
      </c>
      <c r="K20" s="10" t="n">
        <v>206100</v>
      </c>
      <c r="L20" s="9" t="n">
        <v>7.8</v>
      </c>
      <c r="M20" s="10" t="n">
        <v>56000</v>
      </c>
      <c r="N20" s="8" t="s">
        <v>79</v>
      </c>
      <c r="O20" s="9" t="n">
        <f aca="false">(E20-MIN(E$8:E$45))/(MAX(E$8:E$45)-MIN(E$8:E$45))*10</f>
        <v>0</v>
      </c>
      <c r="P20" s="9" t="n">
        <f aca="false">(MAX(F$8:F$45)-F20)/(MAX(F$8:F$45)-MIN(F$8:F$45))*10</f>
        <v>5.25423728813559</v>
      </c>
      <c r="Q20" s="9" t="n">
        <f aca="false">(G20-MIN(G$8:G$45))/(MAX(G$8:G$45)-MIN(G$8:G$45))*10</f>
        <v>4.55555555555556</v>
      </c>
      <c r="R20" s="9" t="n">
        <f aca="false">(H20-MIN(H$8:H$45))/(MAX(H$8:H$45)-MIN(H$8:H$45))*10</f>
        <v>0</v>
      </c>
      <c r="S20" s="9" t="n">
        <f aca="false">(I20-MIN(I$8:I$45))/(MAX(I$8:I$45)-MIN(I$8:I$45))*10</f>
        <v>0</v>
      </c>
      <c r="T20" s="9" t="n">
        <f aca="false">(K20-J20)/K20*10</f>
        <v>6.96749150897623</v>
      </c>
      <c r="U20" s="11" t="n">
        <f aca="false">O20*B$4+P20*D$4+Q20*F$4+R20*H$4+S20*J$4+T20*L$4</f>
        <v>2.57304500859382</v>
      </c>
      <c r="V20" s="8" t="n">
        <f aca="false">RANK(U20,U$8:U$45,0)</f>
        <v>37</v>
      </c>
    </row>
    <row r="21" customFormat="false" ht="15" hidden="false" customHeight="false" outlineLevel="0" collapsed="false">
      <c r="A21" s="12" t="n">
        <v>14</v>
      </c>
      <c r="B21" s="12" t="s">
        <v>80</v>
      </c>
      <c r="C21" s="13" t="s">
        <v>36</v>
      </c>
      <c r="D21" s="13" t="s">
        <v>81</v>
      </c>
      <c r="E21" s="14" t="n">
        <v>95</v>
      </c>
      <c r="F21" s="14" t="n">
        <v>2</v>
      </c>
      <c r="G21" s="14" t="n">
        <v>3.5</v>
      </c>
      <c r="H21" s="14" t="n">
        <v>0.2</v>
      </c>
      <c r="I21" s="14" t="n">
        <v>0</v>
      </c>
      <c r="J21" s="15" t="n">
        <v>55000</v>
      </c>
      <c r="K21" s="15" t="n">
        <v>206100</v>
      </c>
      <c r="L21" s="14" t="n">
        <v>8.3</v>
      </c>
      <c r="M21" s="15" t="n">
        <v>54000</v>
      </c>
      <c r="N21" s="13" t="s">
        <v>82</v>
      </c>
      <c r="O21" s="14" t="n">
        <f aca="false">(E21-MIN(E$8:E$45))/(MAX(E$8:E$45)-MIN(E$8:E$45))*10</f>
        <v>5.36231884057971</v>
      </c>
      <c r="P21" s="14" t="n">
        <f aca="false">(MAX(F$8:F$45)-F21)/(MAX(F$8:F$45)-MIN(F$8:F$45))*10</f>
        <v>6.94915254237288</v>
      </c>
      <c r="Q21" s="14" t="n">
        <f aca="false">(G21-MIN(G$8:G$45))/(MAX(G$8:G$45)-MIN(G$8:G$45))*10</f>
        <v>2.77777777777778</v>
      </c>
      <c r="R21" s="14" t="n">
        <f aca="false">(H21-MIN(H$8:H$45))/(MAX(H$8:H$45)-MIN(H$8:H$45))*10</f>
        <v>2.5531914893617</v>
      </c>
      <c r="S21" s="14" t="n">
        <f aca="false">(I21-MIN(I$8:I$45))/(MAX(I$8:I$45)-MIN(I$8:I$45))*10</f>
        <v>0.909090909090909</v>
      </c>
      <c r="T21" s="14" t="n">
        <f aca="false">(K21-J21)/K21*10</f>
        <v>7.33139252789908</v>
      </c>
      <c r="U21" s="16" t="n">
        <f aca="false">O21*B$4+P21*D$4+Q21*F$4+R21*H$4+S21*J$4+T21*L$4</f>
        <v>4.473880842002</v>
      </c>
      <c r="V21" s="13" t="n">
        <f aca="false">RANK(U21,U$8:U$45,0)</f>
        <v>27</v>
      </c>
    </row>
    <row r="22" customFormat="false" ht="15" hidden="false" customHeight="false" outlineLevel="0" collapsed="false">
      <c r="A22" s="7" t="n">
        <v>15</v>
      </c>
      <c r="B22" s="7" t="s">
        <v>83</v>
      </c>
      <c r="C22" s="8" t="s">
        <v>36</v>
      </c>
      <c r="D22" s="8" t="s">
        <v>84</v>
      </c>
      <c r="E22" s="9" t="n">
        <v>95</v>
      </c>
      <c r="F22" s="9" t="n">
        <v>0.5</v>
      </c>
      <c r="G22" s="9" t="n">
        <v>4</v>
      </c>
      <c r="H22" s="9" t="n">
        <v>-0.5</v>
      </c>
      <c r="I22" s="9" t="n">
        <v>0</v>
      </c>
      <c r="J22" s="10" t="n">
        <v>50000</v>
      </c>
      <c r="K22" s="10" t="n">
        <v>206100</v>
      </c>
      <c r="L22" s="9" t="n">
        <v>8.3</v>
      </c>
      <c r="M22" s="10" t="n">
        <v>54000</v>
      </c>
      <c r="N22" s="8" t="s">
        <v>85</v>
      </c>
      <c r="O22" s="9" t="n">
        <f aca="false">(E22-MIN(E$8:E$45))/(MAX(E$8:E$45)-MIN(E$8:E$45))*10</f>
        <v>5.36231884057971</v>
      </c>
      <c r="P22" s="9" t="n">
        <f aca="false">(MAX(F$8:F$45)-F22)/(MAX(F$8:F$45)-MIN(F$8:F$45))*10</f>
        <v>9.49152542372881</v>
      </c>
      <c r="Q22" s="9" t="n">
        <f aca="false">(G22-MIN(G$8:G$45))/(MAX(G$8:G$45)-MIN(G$8:G$45))*10</f>
        <v>3.33333333333333</v>
      </c>
      <c r="R22" s="9" t="n">
        <f aca="false">(H22-MIN(H$8:H$45))/(MAX(H$8:H$45)-MIN(H$8:H$45))*10</f>
        <v>1.06382978723404</v>
      </c>
      <c r="S22" s="9" t="n">
        <f aca="false">(I22-MIN(I$8:I$45))/(MAX(I$8:I$45)-MIN(I$8:I$45))*10</f>
        <v>0.909090909090909</v>
      </c>
      <c r="T22" s="9" t="n">
        <f aca="false">(K22-J22)/K22*10</f>
        <v>7.57399320718098</v>
      </c>
      <c r="U22" s="11" t="n">
        <f aca="false">O22*B$4+P22*D$4+Q22*F$4+R22*H$4+S22*J$4+T22*L$4</f>
        <v>5.00931095209704</v>
      </c>
      <c r="V22" s="8" t="n">
        <f aca="false">RANK(U22,U$8:U$45,0)</f>
        <v>21</v>
      </c>
    </row>
    <row r="23" customFormat="false" ht="15" hidden="false" customHeight="false" outlineLevel="0" collapsed="false">
      <c r="A23" s="12" t="n">
        <v>16</v>
      </c>
      <c r="B23" s="12" t="s">
        <v>86</v>
      </c>
      <c r="C23" s="13" t="s">
        <v>43</v>
      </c>
      <c r="D23" s="13" t="s">
        <v>87</v>
      </c>
      <c r="E23" s="14" t="n">
        <v>92.8</v>
      </c>
      <c r="F23" s="14" t="n">
        <v>1</v>
      </c>
      <c r="G23" s="14" t="n">
        <v>2.1</v>
      </c>
      <c r="H23" s="14" t="n">
        <v>-0.1</v>
      </c>
      <c r="I23" s="14" t="n">
        <v>1</v>
      </c>
      <c r="J23" s="15" t="n">
        <v>65000</v>
      </c>
      <c r="K23" s="15" t="n">
        <v>206100</v>
      </c>
      <c r="L23" s="14" t="n">
        <v>7.9</v>
      </c>
      <c r="M23" s="15" t="n">
        <v>58000</v>
      </c>
      <c r="N23" s="13" t="s">
        <v>88</v>
      </c>
      <c r="O23" s="14" t="n">
        <f aca="false">(E23-MIN(E$8:E$45))/(MAX(E$8:E$45)-MIN(E$8:E$45))*10</f>
        <v>2.17391304347826</v>
      </c>
      <c r="P23" s="14" t="n">
        <f aca="false">(MAX(F$8:F$45)-F23)/(MAX(F$8:F$45)-MIN(F$8:F$45))*10</f>
        <v>8.64406779661017</v>
      </c>
      <c r="Q23" s="14" t="n">
        <f aca="false">(G23-MIN(G$8:G$45))/(MAX(G$8:G$45)-MIN(G$8:G$45))*10</f>
        <v>1.22222222222222</v>
      </c>
      <c r="R23" s="14" t="n">
        <f aca="false">(H23-MIN(H$8:H$45))/(MAX(H$8:H$45)-MIN(H$8:H$45))*10</f>
        <v>1.91489361702128</v>
      </c>
      <c r="S23" s="14" t="n">
        <f aca="false">(I23-MIN(I$8:I$45))/(MAX(I$8:I$45)-MIN(I$8:I$45))*10</f>
        <v>2.42424242424242</v>
      </c>
      <c r="T23" s="14" t="n">
        <f aca="false">(K23-J23)/K23*10</f>
        <v>6.84619116933527</v>
      </c>
      <c r="U23" s="16" t="n">
        <f aca="false">O23*B$4+P23*D$4+Q23*F$4+R23*H$4+S23*J$4+T23*L$4</f>
        <v>3.82090749791075</v>
      </c>
      <c r="V23" s="13" t="n">
        <f aca="false">RANK(U23,U$8:U$45,0)</f>
        <v>33</v>
      </c>
    </row>
    <row r="24" customFormat="false" ht="15" hidden="false" customHeight="false" outlineLevel="0" collapsed="false">
      <c r="A24" s="7" t="n">
        <v>17</v>
      </c>
      <c r="B24" s="7" t="s">
        <v>89</v>
      </c>
      <c r="C24" s="8" t="s">
        <v>63</v>
      </c>
      <c r="D24" s="8" t="s">
        <v>90</v>
      </c>
      <c r="E24" s="9" t="n">
        <v>93.4</v>
      </c>
      <c r="F24" s="9" t="n">
        <v>0.6</v>
      </c>
      <c r="G24" s="9" t="n">
        <v>5.3</v>
      </c>
      <c r="H24" s="9" t="n">
        <v>1.5</v>
      </c>
      <c r="I24" s="9" t="n">
        <v>3.1</v>
      </c>
      <c r="J24" s="10" t="n">
        <v>95000</v>
      </c>
      <c r="K24" s="10" t="n">
        <v>206100</v>
      </c>
      <c r="L24" s="9" t="n">
        <v>7</v>
      </c>
      <c r="M24" s="10" t="n">
        <v>62000</v>
      </c>
      <c r="N24" s="8" t="s">
        <v>91</v>
      </c>
      <c r="O24" s="9" t="n">
        <f aca="false">(E24-MIN(E$8:E$45))/(MAX(E$8:E$45)-MIN(E$8:E$45))*10</f>
        <v>3.04347826086957</v>
      </c>
      <c r="P24" s="9" t="n">
        <f aca="false">(MAX(F$8:F$45)-F24)/(MAX(F$8:F$45)-MIN(F$8:F$45))*10</f>
        <v>9.32203389830509</v>
      </c>
      <c r="Q24" s="9" t="n">
        <f aca="false">(G24-MIN(G$8:G$45))/(MAX(G$8:G$45)-MIN(G$8:G$45))*10</f>
        <v>4.77777777777778</v>
      </c>
      <c r="R24" s="9" t="n">
        <f aca="false">(H24-MIN(H$8:H$45))/(MAX(H$8:H$45)-MIN(H$8:H$45))*10</f>
        <v>5.31914893617021</v>
      </c>
      <c r="S24" s="9" t="n">
        <f aca="false">(I24-MIN(I$8:I$45))/(MAX(I$8:I$45)-MIN(I$8:I$45))*10</f>
        <v>5.60606060606061</v>
      </c>
      <c r="T24" s="9" t="n">
        <f aca="false">(K24-J24)/K24*10</f>
        <v>5.39058709364386</v>
      </c>
      <c r="U24" s="11" t="n">
        <f aca="false">O24*B$4+P24*D$4+Q24*F$4+R24*H$4+S24*J$4+T24*L$4</f>
        <v>5.67494135106301</v>
      </c>
      <c r="V24" s="8" t="n">
        <f aca="false">RANK(U24,U$8:U$45,0)</f>
        <v>12</v>
      </c>
    </row>
    <row r="25" customFormat="false" ht="15" hidden="false" customHeight="false" outlineLevel="0" collapsed="false">
      <c r="A25" s="12" t="n">
        <v>18</v>
      </c>
      <c r="B25" s="12" t="s">
        <v>92</v>
      </c>
      <c r="C25" s="13" t="s">
        <v>93</v>
      </c>
      <c r="D25" s="13" t="s">
        <v>94</v>
      </c>
      <c r="E25" s="14" t="n">
        <v>92.5</v>
      </c>
      <c r="F25" s="14" t="n">
        <v>1.2</v>
      </c>
      <c r="G25" s="14" t="n">
        <v>3.7</v>
      </c>
      <c r="H25" s="14" t="n">
        <v>1</v>
      </c>
      <c r="I25" s="14" t="n">
        <v>0.3</v>
      </c>
      <c r="J25" s="15" t="n">
        <v>60000</v>
      </c>
      <c r="K25" s="15" t="n">
        <v>206100</v>
      </c>
      <c r="L25" s="14" t="n">
        <v>8</v>
      </c>
      <c r="M25" s="15" t="n">
        <v>57000</v>
      </c>
      <c r="N25" s="13" t="s">
        <v>95</v>
      </c>
      <c r="O25" s="14" t="n">
        <f aca="false">(E25-MIN(E$8:E$45))/(MAX(E$8:E$45)-MIN(E$8:E$45))*10</f>
        <v>1.73913043478261</v>
      </c>
      <c r="P25" s="14" t="n">
        <f aca="false">(MAX(F$8:F$45)-F25)/(MAX(F$8:F$45)-MIN(F$8:F$45))*10</f>
        <v>8.30508474576271</v>
      </c>
      <c r="Q25" s="14" t="n">
        <f aca="false">(G25-MIN(G$8:G$45))/(MAX(G$8:G$45)-MIN(G$8:G$45))*10</f>
        <v>3</v>
      </c>
      <c r="R25" s="14" t="n">
        <f aca="false">(H25-MIN(H$8:H$45))/(MAX(H$8:H$45)-MIN(H$8:H$45))*10</f>
        <v>4.25531914893617</v>
      </c>
      <c r="S25" s="14" t="n">
        <f aca="false">(I25-MIN(I$8:I$45))/(MAX(I$8:I$45)-MIN(I$8:I$45))*10</f>
        <v>1.36363636363636</v>
      </c>
      <c r="T25" s="14" t="n">
        <f aca="false">(K25-J25)/K25*10</f>
        <v>7.08879184861718</v>
      </c>
      <c r="U25" s="16" t="n">
        <f aca="false">O25*B$4+P25*D$4+Q25*F$4+R25*H$4+S25*J$4+T25*L$4</f>
        <v>4.24015489627125</v>
      </c>
      <c r="V25" s="13" t="n">
        <f aca="false">RANK(U25,U$8:U$45,0)</f>
        <v>30</v>
      </c>
    </row>
    <row r="26" customFormat="false" ht="15" hidden="false" customHeight="false" outlineLevel="0" collapsed="false">
      <c r="A26" s="7" t="n">
        <v>19</v>
      </c>
      <c r="B26" s="7" t="s">
        <v>96</v>
      </c>
      <c r="C26" s="8" t="s">
        <v>36</v>
      </c>
      <c r="D26" s="8" t="s">
        <v>97</v>
      </c>
      <c r="E26" s="9" t="n">
        <v>92.7</v>
      </c>
      <c r="F26" s="9" t="n">
        <v>0.5</v>
      </c>
      <c r="G26" s="9" t="n">
        <v>3.1</v>
      </c>
      <c r="H26" s="9" t="n">
        <v>0.6</v>
      </c>
      <c r="I26" s="9" t="n">
        <v>-0.1</v>
      </c>
      <c r="J26" s="10" t="n">
        <v>45000</v>
      </c>
      <c r="K26" s="10" t="n">
        <v>206100</v>
      </c>
      <c r="L26" s="9" t="n">
        <v>9.3</v>
      </c>
      <c r="M26" s="10" t="n">
        <v>50000</v>
      </c>
      <c r="N26" s="8" t="s">
        <v>98</v>
      </c>
      <c r="O26" s="9" t="n">
        <f aca="false">(E26-MIN(E$8:E$45))/(MAX(E$8:E$45)-MIN(E$8:E$45))*10</f>
        <v>2.02898550724638</v>
      </c>
      <c r="P26" s="9" t="n">
        <f aca="false">(MAX(F$8:F$45)-F26)/(MAX(F$8:F$45)-MIN(F$8:F$45))*10</f>
        <v>9.49152542372881</v>
      </c>
      <c r="Q26" s="9" t="n">
        <f aca="false">(G26-MIN(G$8:G$45))/(MAX(G$8:G$45)-MIN(G$8:G$45))*10</f>
        <v>2.33333333333333</v>
      </c>
      <c r="R26" s="9" t="n">
        <f aca="false">(H26-MIN(H$8:H$45))/(MAX(H$8:H$45)-MIN(H$8:H$45))*10</f>
        <v>3.40425531914894</v>
      </c>
      <c r="S26" s="9" t="n">
        <f aca="false">(I26-MIN(I$8:I$45))/(MAX(I$8:I$45)-MIN(I$8:I$45))*10</f>
        <v>0.757575757575758</v>
      </c>
      <c r="T26" s="9" t="n">
        <f aca="false">(K26-J26)/K26*10</f>
        <v>7.81659388646288</v>
      </c>
      <c r="U26" s="11" t="n">
        <f aca="false">O26*B$4+P26*D$4+Q26*F$4+R26*H$4+S26*J$4+T26*L$4</f>
        <v>4.32401996736353</v>
      </c>
      <c r="V26" s="8" t="n">
        <f aca="false">RANK(U26,U$8:U$45,0)</f>
        <v>29</v>
      </c>
    </row>
    <row r="27" customFormat="false" ht="15" hidden="false" customHeight="false" outlineLevel="0" collapsed="false">
      <c r="A27" s="12" t="n">
        <v>20</v>
      </c>
      <c r="B27" s="12" t="s">
        <v>99</v>
      </c>
      <c r="C27" s="13" t="s">
        <v>32</v>
      </c>
      <c r="D27" s="13" t="s">
        <v>100</v>
      </c>
      <c r="E27" s="14" t="n">
        <v>95.3</v>
      </c>
      <c r="F27" s="14" t="n">
        <v>2.5</v>
      </c>
      <c r="G27" s="14" t="n">
        <v>3.7</v>
      </c>
      <c r="H27" s="14" t="n">
        <v>1.5</v>
      </c>
      <c r="I27" s="14" t="n">
        <v>0.5</v>
      </c>
      <c r="J27" s="15" t="n">
        <v>125000</v>
      </c>
      <c r="K27" s="15" t="n">
        <v>206100</v>
      </c>
      <c r="L27" s="14" t="n">
        <v>6.6</v>
      </c>
      <c r="M27" s="15" t="n">
        <v>72000</v>
      </c>
      <c r="N27" s="13" t="s">
        <v>101</v>
      </c>
      <c r="O27" s="14" t="n">
        <f aca="false">(E27-MIN(E$8:E$45))/(MAX(E$8:E$45)-MIN(E$8:E$45))*10</f>
        <v>5.79710144927536</v>
      </c>
      <c r="P27" s="14" t="n">
        <f aca="false">(MAX(F$8:F$45)-F27)/(MAX(F$8:F$45)-MIN(F$8:F$45))*10</f>
        <v>6.10169491525424</v>
      </c>
      <c r="Q27" s="14" t="n">
        <f aca="false">(G27-MIN(G$8:G$45))/(MAX(G$8:G$45)-MIN(G$8:G$45))*10</f>
        <v>3</v>
      </c>
      <c r="R27" s="14" t="n">
        <f aca="false">(H27-MIN(H$8:H$45))/(MAX(H$8:H$45)-MIN(H$8:H$45))*10</f>
        <v>5.31914893617021</v>
      </c>
      <c r="S27" s="14" t="n">
        <f aca="false">(I27-MIN(I$8:I$45))/(MAX(I$8:I$45)-MIN(I$8:I$45))*10</f>
        <v>1.66666666666667</v>
      </c>
      <c r="T27" s="14" t="n">
        <f aca="false">(K27-J27)/K27*10</f>
        <v>3.93498301795245</v>
      </c>
      <c r="U27" s="16" t="n">
        <f aca="false">O27*B$4+P27*D$4+Q27*F$4+R27*H$4+S27*J$4+T27*L$4</f>
        <v>4.73598724912222</v>
      </c>
      <c r="V27" s="13" t="n">
        <f aca="false">RANK(U27,U$8:U$45,0)</f>
        <v>24</v>
      </c>
    </row>
    <row r="28" customFormat="false" ht="15" hidden="false" customHeight="false" outlineLevel="0" collapsed="false">
      <c r="A28" s="7" t="n">
        <v>21</v>
      </c>
      <c r="B28" s="7" t="s">
        <v>102</v>
      </c>
      <c r="C28" s="8" t="s">
        <v>32</v>
      </c>
      <c r="D28" s="8" t="s">
        <v>103</v>
      </c>
      <c r="E28" s="9" t="n">
        <v>95.5</v>
      </c>
      <c r="F28" s="9" t="n">
        <v>0.8</v>
      </c>
      <c r="G28" s="9" t="n">
        <v>4</v>
      </c>
      <c r="H28" s="9" t="n">
        <v>1</v>
      </c>
      <c r="I28" s="9" t="n">
        <v>0.3</v>
      </c>
      <c r="J28" s="10" t="n">
        <v>67500</v>
      </c>
      <c r="K28" s="10" t="n">
        <v>206100</v>
      </c>
      <c r="L28" s="9" t="n">
        <v>8</v>
      </c>
      <c r="M28" s="10" t="n">
        <v>52000</v>
      </c>
      <c r="N28" s="8" t="s">
        <v>104</v>
      </c>
      <c r="O28" s="9" t="n">
        <f aca="false">(E28-MIN(E$8:E$45))/(MAX(E$8:E$45)-MIN(E$8:E$45))*10</f>
        <v>6.08695652173913</v>
      </c>
      <c r="P28" s="9" t="n">
        <f aca="false">(MAX(F$8:F$45)-F28)/(MAX(F$8:F$45)-MIN(F$8:F$45))*10</f>
        <v>8.98305084745763</v>
      </c>
      <c r="Q28" s="9" t="n">
        <f aca="false">(G28-MIN(G$8:G$45))/(MAX(G$8:G$45)-MIN(G$8:G$45))*10</f>
        <v>3.33333333333333</v>
      </c>
      <c r="R28" s="9" t="n">
        <f aca="false">(H28-MIN(H$8:H$45))/(MAX(H$8:H$45)-MIN(H$8:H$45))*10</f>
        <v>4.25531914893617</v>
      </c>
      <c r="S28" s="9" t="n">
        <f aca="false">(I28-MIN(I$8:I$45))/(MAX(I$8:I$45)-MIN(I$8:I$45))*10</f>
        <v>1.36363636363636</v>
      </c>
      <c r="T28" s="9" t="n">
        <f aca="false">(K28-J28)/K28*10</f>
        <v>6.72489082969432</v>
      </c>
      <c r="U28" s="11" t="n">
        <f aca="false">O28*B$4+P28*D$4+Q28*F$4+R28*H$4+S28*J$4+T28*L$4</f>
        <v>5.54507455915464</v>
      </c>
      <c r="V28" s="8" t="n">
        <f aca="false">RANK(U28,U$8:U$45,0)</f>
        <v>13</v>
      </c>
    </row>
    <row r="29" customFormat="false" ht="15" hidden="false" customHeight="false" outlineLevel="0" collapsed="false">
      <c r="A29" s="12" t="n">
        <v>22</v>
      </c>
      <c r="B29" s="12" t="s">
        <v>105</v>
      </c>
      <c r="C29" s="13" t="s">
        <v>32</v>
      </c>
      <c r="D29" s="13" t="s">
        <v>106</v>
      </c>
      <c r="E29" s="14" t="n">
        <v>93.9</v>
      </c>
      <c r="F29" s="14" t="n">
        <v>1</v>
      </c>
      <c r="G29" s="14" t="n">
        <v>6.7</v>
      </c>
      <c r="H29" s="14" t="n">
        <v>1</v>
      </c>
      <c r="I29" s="14" t="n">
        <v>0.2</v>
      </c>
      <c r="J29" s="15" t="n">
        <v>62500</v>
      </c>
      <c r="K29" s="15" t="n">
        <v>206100</v>
      </c>
      <c r="L29" s="14" t="n">
        <v>8</v>
      </c>
      <c r="M29" s="15" t="n">
        <v>55000</v>
      </c>
      <c r="N29" s="13" t="s">
        <v>107</v>
      </c>
      <c r="O29" s="14" t="n">
        <f aca="false">(E29-MIN(E$8:E$45))/(MAX(E$8:E$45)-MIN(E$8:E$45))*10</f>
        <v>3.768115942029</v>
      </c>
      <c r="P29" s="14" t="n">
        <f aca="false">(MAX(F$8:F$45)-F29)/(MAX(F$8:F$45)-MIN(F$8:F$45))*10</f>
        <v>8.64406779661017</v>
      </c>
      <c r="Q29" s="14" t="n">
        <f aca="false">(G29-MIN(G$8:G$45))/(MAX(G$8:G$45)-MIN(G$8:G$45))*10</f>
        <v>6.33333333333333</v>
      </c>
      <c r="R29" s="14" t="n">
        <f aca="false">(H29-MIN(H$8:H$45))/(MAX(H$8:H$45)-MIN(H$8:H$45))*10</f>
        <v>4.25531914893617</v>
      </c>
      <c r="S29" s="14" t="n">
        <f aca="false">(I29-MIN(I$8:I$45))/(MAX(I$8:I$45)-MIN(I$8:I$45))*10</f>
        <v>1.21212121212121</v>
      </c>
      <c r="T29" s="14" t="n">
        <f aca="false">(K29-J29)/K29*10</f>
        <v>6.96749150897623</v>
      </c>
      <c r="U29" s="16" t="n">
        <f aca="false">O29*B$4+P29*D$4+Q29*F$4+R29*H$4+S29*J$4+T29*L$4</f>
        <v>5.47759717032782</v>
      </c>
      <c r="V29" s="13" t="n">
        <f aca="false">RANK(U29,U$8:U$45,0)</f>
        <v>14</v>
      </c>
    </row>
    <row r="30" customFormat="false" ht="15" hidden="false" customHeight="false" outlineLevel="0" collapsed="false">
      <c r="A30" s="7" t="n">
        <v>23</v>
      </c>
      <c r="B30" s="7" t="s">
        <v>108</v>
      </c>
      <c r="C30" s="8" t="s">
        <v>43</v>
      </c>
      <c r="D30" s="8" t="s">
        <v>109</v>
      </c>
      <c r="E30" s="9" t="n">
        <v>93.5</v>
      </c>
      <c r="F30" s="9" t="n">
        <v>0.5</v>
      </c>
      <c r="G30" s="9" t="n">
        <v>6.1</v>
      </c>
      <c r="H30" s="9" t="n">
        <v>1.9</v>
      </c>
      <c r="I30" s="9" t="n">
        <v>0</v>
      </c>
      <c r="J30" s="10" t="n">
        <v>55000</v>
      </c>
      <c r="K30" s="10" t="n">
        <v>206100</v>
      </c>
      <c r="L30" s="9" t="n">
        <v>7.4</v>
      </c>
      <c r="M30" s="10" t="n">
        <v>52000</v>
      </c>
      <c r="N30" s="8" t="s">
        <v>110</v>
      </c>
      <c r="O30" s="9" t="n">
        <f aca="false">(E30-MIN(E$8:E$45))/(MAX(E$8:E$45)-MIN(E$8:E$45))*10</f>
        <v>3.18840579710145</v>
      </c>
      <c r="P30" s="9" t="n">
        <f aca="false">(MAX(F$8:F$45)-F30)/(MAX(F$8:F$45)-MIN(F$8:F$45))*10</f>
        <v>9.49152542372881</v>
      </c>
      <c r="Q30" s="9" t="n">
        <f aca="false">(G30-MIN(G$8:G$45))/(MAX(G$8:G$45)-MIN(G$8:G$45))*10</f>
        <v>5.66666666666667</v>
      </c>
      <c r="R30" s="9" t="n">
        <f aca="false">(H30-MIN(H$8:H$45))/(MAX(H$8:H$45)-MIN(H$8:H$45))*10</f>
        <v>6.17021276595745</v>
      </c>
      <c r="S30" s="9" t="n">
        <f aca="false">(I30-MIN(I$8:I$45))/(MAX(I$8:I$45)-MIN(I$8:I$45))*10</f>
        <v>0.909090909090909</v>
      </c>
      <c r="T30" s="9" t="n">
        <f aca="false">(K30-J30)/K30*10</f>
        <v>7.33139252789908</v>
      </c>
      <c r="U30" s="11" t="n">
        <f aca="false">O30*B$4+P30*D$4+Q30*F$4+R30*H$4+S30*J$4+T30*L$4</f>
        <v>5.68632677073856</v>
      </c>
      <c r="V30" s="8" t="n">
        <f aca="false">RANK(U30,U$8:U$45,0)</f>
        <v>11</v>
      </c>
    </row>
    <row r="31" customFormat="false" ht="15" hidden="false" customHeight="false" outlineLevel="0" collapsed="false">
      <c r="A31" s="12" t="n">
        <v>24</v>
      </c>
      <c r="B31" s="12" t="s">
        <v>111</v>
      </c>
      <c r="C31" s="13" t="s">
        <v>43</v>
      </c>
      <c r="D31" s="13" t="s">
        <v>112</v>
      </c>
      <c r="E31" s="14" t="n">
        <v>94.4</v>
      </c>
      <c r="F31" s="14" t="n">
        <v>0.5</v>
      </c>
      <c r="G31" s="14" t="n">
        <v>3.7</v>
      </c>
      <c r="H31" s="14" t="n">
        <v>0.8</v>
      </c>
      <c r="I31" s="14" t="n">
        <v>0.3</v>
      </c>
      <c r="J31" s="15" t="n">
        <v>60000</v>
      </c>
      <c r="K31" s="15" t="n">
        <v>206100</v>
      </c>
      <c r="L31" s="14" t="n">
        <v>8</v>
      </c>
      <c r="M31" s="15" t="n">
        <v>53000</v>
      </c>
      <c r="N31" s="13" t="s">
        <v>113</v>
      </c>
      <c r="O31" s="14" t="n">
        <f aca="false">(E31-MIN(E$8:E$45))/(MAX(E$8:E$45)-MIN(E$8:E$45))*10</f>
        <v>4.49275362318842</v>
      </c>
      <c r="P31" s="14" t="n">
        <f aca="false">(MAX(F$8:F$45)-F31)/(MAX(F$8:F$45)-MIN(F$8:F$45))*10</f>
        <v>9.49152542372881</v>
      </c>
      <c r="Q31" s="14" t="n">
        <f aca="false">(G31-MIN(G$8:G$45))/(MAX(G$8:G$45)-MIN(G$8:G$45))*10</f>
        <v>3</v>
      </c>
      <c r="R31" s="14" t="n">
        <f aca="false">(H31-MIN(H$8:H$45))/(MAX(H$8:H$45)-MIN(H$8:H$45))*10</f>
        <v>3.82978723404255</v>
      </c>
      <c r="S31" s="14" t="n">
        <f aca="false">(I31-MIN(I$8:I$45))/(MAX(I$8:I$45)-MIN(I$8:I$45))*10</f>
        <v>1.36363636363636</v>
      </c>
      <c r="T31" s="14" t="n">
        <f aca="false">(K31-J31)/K31*10</f>
        <v>7.08879184861718</v>
      </c>
      <c r="U31" s="16" t="n">
        <f aca="false">O31*B$4+P31*D$4+Q31*F$4+R31*H$4+S31*J$4+T31*L$4</f>
        <v>5.16134107563019</v>
      </c>
      <c r="V31" s="13" t="n">
        <f aca="false">RANK(U31,U$8:U$45,0)</f>
        <v>18</v>
      </c>
    </row>
    <row r="32" customFormat="false" ht="15" hidden="false" customHeight="false" outlineLevel="0" collapsed="false">
      <c r="A32" s="7" t="n">
        <v>25</v>
      </c>
      <c r="B32" s="7" t="s">
        <v>114</v>
      </c>
      <c r="C32" s="8" t="s">
        <v>51</v>
      </c>
      <c r="D32" s="8" t="s">
        <v>115</v>
      </c>
      <c r="E32" s="9" t="n">
        <v>95</v>
      </c>
      <c r="F32" s="9" t="n">
        <v>1.1</v>
      </c>
      <c r="G32" s="9" t="n">
        <v>4.1</v>
      </c>
      <c r="H32" s="9" t="n">
        <v>1.5</v>
      </c>
      <c r="I32" s="9" t="n">
        <v>0.5</v>
      </c>
      <c r="J32" s="10" t="n">
        <v>62500</v>
      </c>
      <c r="K32" s="10" t="n">
        <v>206100</v>
      </c>
      <c r="L32" s="9" t="n">
        <v>8</v>
      </c>
      <c r="M32" s="10" t="n">
        <v>52000</v>
      </c>
      <c r="N32" s="8" t="s">
        <v>116</v>
      </c>
      <c r="O32" s="9" t="n">
        <f aca="false">(E32-MIN(E$8:E$45))/(MAX(E$8:E$45)-MIN(E$8:E$45))*10</f>
        <v>5.36231884057971</v>
      </c>
      <c r="P32" s="9" t="n">
        <f aca="false">(MAX(F$8:F$45)-F32)/(MAX(F$8:F$45)-MIN(F$8:F$45))*10</f>
        <v>8.47457627118644</v>
      </c>
      <c r="Q32" s="9" t="n">
        <f aca="false">(G32-MIN(G$8:G$45))/(MAX(G$8:G$45)-MIN(G$8:G$45))*10</f>
        <v>3.44444444444444</v>
      </c>
      <c r="R32" s="9" t="n">
        <f aca="false">(H32-MIN(H$8:H$45))/(MAX(H$8:H$45)-MIN(H$8:H$45))*10</f>
        <v>5.31914893617021</v>
      </c>
      <c r="S32" s="9" t="n">
        <f aca="false">(I32-MIN(I$8:I$45))/(MAX(I$8:I$45)-MIN(I$8:I$45))*10</f>
        <v>1.66666666666667</v>
      </c>
      <c r="T32" s="9" t="n">
        <f aca="false">(K32-J32)/K32*10</f>
        <v>6.96749150897623</v>
      </c>
      <c r="U32" s="11" t="n">
        <f aca="false">O32*B$4+P32*D$4+Q32*F$4+R32*H$4+S32*J$4+T32*L$4</f>
        <v>5.46102624937144</v>
      </c>
      <c r="V32" s="8" t="n">
        <f aca="false">RANK(U32,U$8:U$45,0)</f>
        <v>15</v>
      </c>
    </row>
    <row r="33" customFormat="false" ht="15" hidden="false" customHeight="false" outlineLevel="0" collapsed="false">
      <c r="A33" s="12" t="n">
        <v>26</v>
      </c>
      <c r="B33" s="12" t="s">
        <v>117</v>
      </c>
      <c r="C33" s="13" t="s">
        <v>118</v>
      </c>
      <c r="D33" s="13" t="s">
        <v>119</v>
      </c>
      <c r="E33" s="14" t="n">
        <v>95</v>
      </c>
      <c r="F33" s="14" t="n">
        <v>0.3</v>
      </c>
      <c r="G33" s="14" t="n">
        <v>4.6</v>
      </c>
      <c r="H33" s="14" t="n">
        <v>1.3</v>
      </c>
      <c r="I33" s="14" t="n">
        <v>0</v>
      </c>
      <c r="J33" s="15" t="n">
        <v>85000</v>
      </c>
      <c r="K33" s="15" t="n">
        <v>206100</v>
      </c>
      <c r="L33" s="14" t="n">
        <v>8.3</v>
      </c>
      <c r="M33" s="15" t="n">
        <v>62000</v>
      </c>
      <c r="N33" s="13" t="s">
        <v>120</v>
      </c>
      <c r="O33" s="14" t="n">
        <f aca="false">(E33-MIN(E$8:E$45))/(MAX(E$8:E$45)-MIN(E$8:E$45))*10</f>
        <v>5.36231884057971</v>
      </c>
      <c r="P33" s="14" t="n">
        <f aca="false">(MAX(F$8:F$45)-F33)/(MAX(F$8:F$45)-MIN(F$8:F$45))*10</f>
        <v>9.83050847457627</v>
      </c>
      <c r="Q33" s="14" t="n">
        <f aca="false">(G33-MIN(G$8:G$45))/(MAX(G$8:G$45)-MIN(G$8:G$45))*10</f>
        <v>4</v>
      </c>
      <c r="R33" s="14" t="n">
        <f aca="false">(H33-MIN(H$8:H$45))/(MAX(H$8:H$45)-MIN(H$8:H$45))*10</f>
        <v>4.8936170212766</v>
      </c>
      <c r="S33" s="14" t="n">
        <f aca="false">(I33-MIN(I$8:I$45))/(MAX(I$8:I$45)-MIN(I$8:I$45))*10</f>
        <v>0.909090909090909</v>
      </c>
      <c r="T33" s="14" t="n">
        <f aca="false">(K33-J33)/K33*10</f>
        <v>5.87578845220767</v>
      </c>
      <c r="U33" s="16" t="n">
        <f aca="false">O33*B$4+P33*D$4+Q33*F$4+R33*H$4+S33*J$4+T33*L$4</f>
        <v>5.71694789549996</v>
      </c>
      <c r="V33" s="13" t="n">
        <f aca="false">RANK(U33,U$8:U$45,0)</f>
        <v>10</v>
      </c>
    </row>
    <row r="34" customFormat="false" ht="15" hidden="false" customHeight="false" outlineLevel="0" collapsed="false">
      <c r="A34" s="7" t="n">
        <v>27</v>
      </c>
      <c r="B34" s="7" t="s">
        <v>121</v>
      </c>
      <c r="C34" s="8" t="s">
        <v>118</v>
      </c>
      <c r="D34" s="8" t="s">
        <v>122</v>
      </c>
      <c r="E34" s="9" t="n">
        <v>95.4</v>
      </c>
      <c r="F34" s="9" t="n">
        <v>0.4</v>
      </c>
      <c r="G34" s="9" t="n">
        <v>4.8</v>
      </c>
      <c r="H34" s="9" t="n">
        <v>1</v>
      </c>
      <c r="I34" s="9" t="n">
        <v>-0.2</v>
      </c>
      <c r="J34" s="10" t="n">
        <v>75000</v>
      </c>
      <c r="K34" s="10" t="n">
        <v>206100</v>
      </c>
      <c r="L34" s="9" t="n">
        <v>7.4</v>
      </c>
      <c r="M34" s="10" t="n">
        <v>58000</v>
      </c>
      <c r="N34" s="8" t="s">
        <v>123</v>
      </c>
      <c r="O34" s="9" t="n">
        <f aca="false">(E34-MIN(E$8:E$45))/(MAX(E$8:E$45)-MIN(E$8:E$45))*10</f>
        <v>5.94202898550725</v>
      </c>
      <c r="P34" s="9" t="n">
        <f aca="false">(MAX(F$8:F$45)-F34)/(MAX(F$8:F$45)-MIN(F$8:F$45))*10</f>
        <v>9.66101694915254</v>
      </c>
      <c r="Q34" s="9" t="n">
        <f aca="false">(G34-MIN(G$8:G$45))/(MAX(G$8:G$45)-MIN(G$8:G$45))*10</f>
        <v>4.22222222222222</v>
      </c>
      <c r="R34" s="9" t="n">
        <f aca="false">(H34-MIN(H$8:H$45))/(MAX(H$8:H$45)-MIN(H$8:H$45))*10</f>
        <v>4.25531914893617</v>
      </c>
      <c r="S34" s="9" t="n">
        <f aca="false">(I34-MIN(I$8:I$45))/(MAX(I$8:I$45)-MIN(I$8:I$45))*10</f>
        <v>0.606060606060606</v>
      </c>
      <c r="T34" s="9" t="n">
        <f aca="false">(K34-J34)/K34*10</f>
        <v>6.36098981077147</v>
      </c>
      <c r="U34" s="11" t="n">
        <f aca="false">O34*B$4+P34*D$4+Q34*F$4+R34*H$4+S34*J$4+T34*L$4</f>
        <v>5.76215935159445</v>
      </c>
      <c r="V34" s="8" t="n">
        <f aca="false">RANK(U34,U$8:U$45,0)</f>
        <v>8</v>
      </c>
    </row>
    <row r="35" customFormat="false" ht="15" hidden="false" customHeight="false" outlineLevel="0" collapsed="false">
      <c r="A35" s="12" t="n">
        <v>28</v>
      </c>
      <c r="B35" s="12" t="s">
        <v>124</v>
      </c>
      <c r="C35" s="13" t="s">
        <v>118</v>
      </c>
      <c r="D35" s="13" t="s">
        <v>125</v>
      </c>
      <c r="E35" s="14" t="n">
        <v>97.4</v>
      </c>
      <c r="F35" s="14" t="n">
        <v>0.3</v>
      </c>
      <c r="G35" s="14" t="n">
        <v>6.5</v>
      </c>
      <c r="H35" s="14" t="n">
        <v>1.5</v>
      </c>
      <c r="I35" s="14" t="n">
        <v>0.2</v>
      </c>
      <c r="J35" s="15" t="n">
        <v>67500</v>
      </c>
      <c r="K35" s="15" t="n">
        <v>206100</v>
      </c>
      <c r="L35" s="14" t="n">
        <v>9.6</v>
      </c>
      <c r="M35" s="15" t="n">
        <v>55000</v>
      </c>
      <c r="N35" s="13" t="s">
        <v>126</v>
      </c>
      <c r="O35" s="14" t="n">
        <f aca="false">(E35-MIN(E$8:E$45))/(MAX(E$8:E$45)-MIN(E$8:E$45))*10</f>
        <v>8.84057971014493</v>
      </c>
      <c r="P35" s="14" t="n">
        <f aca="false">(MAX(F$8:F$45)-F35)/(MAX(F$8:F$45)-MIN(F$8:F$45))*10</f>
        <v>9.83050847457627</v>
      </c>
      <c r="Q35" s="14" t="n">
        <f aca="false">(G35-MIN(G$8:G$45))/(MAX(G$8:G$45)-MIN(G$8:G$45))*10</f>
        <v>6.11111111111111</v>
      </c>
      <c r="R35" s="14" t="n">
        <f aca="false">(H35-MIN(H$8:H$45))/(MAX(H$8:H$45)-MIN(H$8:H$45))*10</f>
        <v>5.31914893617021</v>
      </c>
      <c r="S35" s="14" t="n">
        <f aca="false">(I35-MIN(I$8:I$45))/(MAX(I$8:I$45)-MIN(I$8:I$45))*10</f>
        <v>1.21212121212121</v>
      </c>
      <c r="T35" s="14" t="n">
        <f aca="false">(K35-J35)/K35*10</f>
        <v>6.72489082969432</v>
      </c>
      <c r="U35" s="16" t="n">
        <f aca="false">O35*B$4+P35*D$4+Q35*F$4+R35*H$4+S35*J$4+T35*L$4</f>
        <v>7.14532327152489</v>
      </c>
      <c r="V35" s="13" t="n">
        <f aca="false">RANK(U35,U$8:U$45,0)</f>
        <v>1</v>
      </c>
    </row>
    <row r="36" customFormat="false" ht="15" hidden="false" customHeight="false" outlineLevel="0" collapsed="false">
      <c r="A36" s="7" t="n">
        <v>29</v>
      </c>
      <c r="B36" s="7" t="s">
        <v>127</v>
      </c>
      <c r="C36" s="8" t="s">
        <v>74</v>
      </c>
      <c r="D36" s="8" t="s">
        <v>128</v>
      </c>
      <c r="E36" s="9" t="n">
        <v>95.3</v>
      </c>
      <c r="F36" s="9" t="n">
        <v>2.3</v>
      </c>
      <c r="G36" s="9" t="n">
        <v>10</v>
      </c>
      <c r="H36" s="9" t="n">
        <v>1.4</v>
      </c>
      <c r="I36" s="9" t="n">
        <v>1</v>
      </c>
      <c r="J36" s="10" t="n">
        <v>95000</v>
      </c>
      <c r="K36" s="10" t="n">
        <v>206100</v>
      </c>
      <c r="L36" s="9" t="n">
        <v>6.8</v>
      </c>
      <c r="M36" s="10" t="n">
        <v>68000</v>
      </c>
      <c r="N36" s="8" t="s">
        <v>129</v>
      </c>
      <c r="O36" s="9" t="n">
        <f aca="false">(E36-MIN(E$8:E$45))/(MAX(E$8:E$45)-MIN(E$8:E$45))*10</f>
        <v>5.79710144927536</v>
      </c>
      <c r="P36" s="9" t="n">
        <f aca="false">(MAX(F$8:F$45)-F36)/(MAX(F$8:F$45)-MIN(F$8:F$45))*10</f>
        <v>6.4406779661017</v>
      </c>
      <c r="Q36" s="9" t="n">
        <f aca="false">(G36-MIN(G$8:G$45))/(MAX(G$8:G$45)-MIN(G$8:G$45))*10</f>
        <v>10</v>
      </c>
      <c r="R36" s="9" t="n">
        <f aca="false">(H36-MIN(H$8:H$45))/(MAX(H$8:H$45)-MIN(H$8:H$45))*10</f>
        <v>5.1063829787234</v>
      </c>
      <c r="S36" s="9" t="n">
        <f aca="false">(I36-MIN(I$8:I$45))/(MAX(I$8:I$45)-MIN(I$8:I$45))*10</f>
        <v>2.42424242424242</v>
      </c>
      <c r="T36" s="9" t="n">
        <f aca="false">(K36-J36)/K36*10</f>
        <v>5.39058709364386</v>
      </c>
      <c r="U36" s="11" t="n">
        <f aca="false">O36*B$4+P36*D$4+Q36*F$4+R36*H$4+S36*J$4+T36*L$4</f>
        <v>6.33735589775921</v>
      </c>
      <c r="V36" s="8" t="n">
        <f aca="false">RANK(U36,U$8:U$45,0)</f>
        <v>4</v>
      </c>
    </row>
    <row r="37" customFormat="false" ht="15" hidden="false" customHeight="false" outlineLevel="0" collapsed="false">
      <c r="A37" s="12" t="n">
        <v>30</v>
      </c>
      <c r="B37" s="12" t="s">
        <v>130</v>
      </c>
      <c r="C37" s="13" t="s">
        <v>74</v>
      </c>
      <c r="D37" s="13" t="s">
        <v>131</v>
      </c>
      <c r="E37" s="14" t="n">
        <v>93.3</v>
      </c>
      <c r="F37" s="14" t="n">
        <v>1.5</v>
      </c>
      <c r="G37" s="14" t="n">
        <v>4.5</v>
      </c>
      <c r="H37" s="14" t="n">
        <v>1.6</v>
      </c>
      <c r="I37" s="14" t="n">
        <v>0.7</v>
      </c>
      <c r="J37" s="15" t="n">
        <v>72500</v>
      </c>
      <c r="K37" s="15" t="n">
        <v>206100</v>
      </c>
      <c r="L37" s="14" t="n">
        <v>7</v>
      </c>
      <c r="M37" s="15" t="n">
        <v>64000</v>
      </c>
      <c r="N37" s="13" t="s">
        <v>132</v>
      </c>
      <c r="O37" s="14" t="n">
        <f aca="false">(E37-MIN(E$8:E$45))/(MAX(E$8:E$45)-MIN(E$8:E$45))*10</f>
        <v>2.89855072463768</v>
      </c>
      <c r="P37" s="14" t="n">
        <f aca="false">(MAX(F$8:F$45)-F37)/(MAX(F$8:F$45)-MIN(F$8:F$45))*10</f>
        <v>7.79661016949153</v>
      </c>
      <c r="Q37" s="14" t="n">
        <f aca="false">(G37-MIN(G$8:G$45))/(MAX(G$8:G$45)-MIN(G$8:G$45))*10</f>
        <v>3.88888888888889</v>
      </c>
      <c r="R37" s="14" t="n">
        <f aca="false">(H37-MIN(H$8:H$45))/(MAX(H$8:H$45)-MIN(H$8:H$45))*10</f>
        <v>5.53191489361702</v>
      </c>
      <c r="S37" s="14" t="n">
        <f aca="false">(I37-MIN(I$8:I$45))/(MAX(I$8:I$45)-MIN(I$8:I$45))*10</f>
        <v>1.96969696969697</v>
      </c>
      <c r="T37" s="14" t="n">
        <f aca="false">(K37-J37)/K37*10</f>
        <v>6.48229015041242</v>
      </c>
      <c r="U37" s="16" t="n">
        <f aca="false">O37*B$4+P37*D$4+Q37*F$4+R37*H$4+S37*J$4+T37*L$4</f>
        <v>4.80243943984295</v>
      </c>
      <c r="V37" s="13" t="n">
        <f aca="false">RANK(U37,U$8:U$45,0)</f>
        <v>23</v>
      </c>
    </row>
    <row r="38" customFormat="false" ht="15" hidden="false" customHeight="false" outlineLevel="0" collapsed="false">
      <c r="A38" s="7" t="n">
        <v>31</v>
      </c>
      <c r="B38" s="7" t="s">
        <v>133</v>
      </c>
      <c r="C38" s="8" t="s">
        <v>47</v>
      </c>
      <c r="D38" s="8" t="s">
        <v>134</v>
      </c>
      <c r="E38" s="9" t="n">
        <v>97.1</v>
      </c>
      <c r="F38" s="9" t="n">
        <v>0.3</v>
      </c>
      <c r="G38" s="9" t="n">
        <v>4</v>
      </c>
      <c r="H38" s="9" t="n">
        <v>1</v>
      </c>
      <c r="I38" s="9" t="n">
        <v>0.5</v>
      </c>
      <c r="J38" s="10" t="n">
        <v>75000</v>
      </c>
      <c r="K38" s="10" t="n">
        <v>206100</v>
      </c>
      <c r="L38" s="9" t="n">
        <v>7.5</v>
      </c>
      <c r="M38" s="10" t="n">
        <v>65000</v>
      </c>
      <c r="N38" s="8" t="s">
        <v>135</v>
      </c>
      <c r="O38" s="9" t="n">
        <f aca="false">(E38-MIN(E$8:E$45))/(MAX(E$8:E$45)-MIN(E$8:E$45))*10</f>
        <v>8.40579710144926</v>
      </c>
      <c r="P38" s="9" t="n">
        <f aca="false">(MAX(F$8:F$45)-F38)/(MAX(F$8:F$45)-MIN(F$8:F$45))*10</f>
        <v>9.83050847457627</v>
      </c>
      <c r="Q38" s="9" t="n">
        <f aca="false">(G38-MIN(G$8:G$45))/(MAX(G$8:G$45)-MIN(G$8:G$45))*10</f>
        <v>3.33333333333333</v>
      </c>
      <c r="R38" s="9" t="n">
        <f aca="false">(H38-MIN(H$8:H$45))/(MAX(H$8:H$45)-MIN(H$8:H$45))*10</f>
        <v>4.25531914893617</v>
      </c>
      <c r="S38" s="9" t="n">
        <f aca="false">(I38-MIN(I$8:I$45))/(MAX(I$8:I$45)-MIN(I$8:I$45))*10</f>
        <v>1.66666666666667</v>
      </c>
      <c r="T38" s="9" t="n">
        <f aca="false">(K38-J38)/K38*10</f>
        <v>6.36098981077147</v>
      </c>
      <c r="U38" s="11" t="n">
        <f aca="false">O38*B$4+P38*D$4+Q38*F$4+R38*H$4+S38*J$4+T38*L$4</f>
        <v>6.34875709021872</v>
      </c>
      <c r="V38" s="8" t="n">
        <f aca="false">RANK(U38,U$8:U$45,0)</f>
        <v>3</v>
      </c>
    </row>
    <row r="39" customFormat="false" ht="15" hidden="false" customHeight="false" outlineLevel="0" collapsed="false">
      <c r="A39" s="12" t="n">
        <v>32</v>
      </c>
      <c r="B39" s="12" t="s">
        <v>136</v>
      </c>
      <c r="C39" s="13" t="s">
        <v>137</v>
      </c>
      <c r="D39" s="13" t="s">
        <v>134</v>
      </c>
      <c r="E39" s="14" t="n">
        <v>98.2</v>
      </c>
      <c r="F39" s="14" t="n">
        <v>0.2</v>
      </c>
      <c r="G39" s="14" t="n">
        <v>4</v>
      </c>
      <c r="H39" s="14" t="n">
        <v>0.5</v>
      </c>
      <c r="I39" s="14" t="n">
        <v>0</v>
      </c>
      <c r="J39" s="15" t="n">
        <v>65000</v>
      </c>
      <c r="K39" s="15" t="n">
        <v>206100</v>
      </c>
      <c r="L39" s="14" t="n">
        <v>8</v>
      </c>
      <c r="M39" s="15" t="n">
        <v>55000</v>
      </c>
      <c r="N39" s="13" t="s">
        <v>138</v>
      </c>
      <c r="O39" s="14" t="n">
        <f aca="false">(E39-MIN(E$8:E$45))/(MAX(E$8:E$45)-MIN(E$8:E$45))*10</f>
        <v>10</v>
      </c>
      <c r="P39" s="14" t="n">
        <f aca="false">(MAX(F$8:F$45)-F39)/(MAX(F$8:F$45)-MIN(F$8:F$45))*10</f>
        <v>10</v>
      </c>
      <c r="Q39" s="14" t="n">
        <f aca="false">(G39-MIN(G$8:G$45))/(MAX(G$8:G$45)-MIN(G$8:G$45))*10</f>
        <v>3.33333333333333</v>
      </c>
      <c r="R39" s="14" t="n">
        <f aca="false">(H39-MIN(H$8:H$45))/(MAX(H$8:H$45)-MIN(H$8:H$45))*10</f>
        <v>3.19148936170213</v>
      </c>
      <c r="S39" s="14" t="n">
        <f aca="false">(I39-MIN(I$8:I$45))/(MAX(I$8:I$45)-MIN(I$8:I$45))*10</f>
        <v>0.909090909090909</v>
      </c>
      <c r="T39" s="14" t="n">
        <f aca="false">(K39-J39)/K39*10</f>
        <v>6.84619116933527</v>
      </c>
      <c r="U39" s="16" t="n">
        <f aca="false">O39*B$4+P39*D$4+Q39*F$4+R39*H$4+S39*J$4+T39*L$4</f>
        <v>6.57860872029784</v>
      </c>
      <c r="V39" s="13" t="n">
        <f aca="false">RANK(U39,U$8:U$45,0)</f>
        <v>2</v>
      </c>
    </row>
    <row r="40" customFormat="false" ht="15" hidden="false" customHeight="false" outlineLevel="0" collapsed="false">
      <c r="A40" s="7" t="n">
        <v>33</v>
      </c>
      <c r="B40" s="7" t="s">
        <v>139</v>
      </c>
      <c r="C40" s="8" t="s">
        <v>140</v>
      </c>
      <c r="D40" s="8" t="s">
        <v>134</v>
      </c>
      <c r="E40" s="9" t="n">
        <v>96</v>
      </c>
      <c r="F40" s="9" t="n">
        <v>0.5</v>
      </c>
      <c r="G40" s="9" t="n">
        <v>4.4</v>
      </c>
      <c r="H40" s="9" t="n">
        <v>0.8</v>
      </c>
      <c r="I40" s="9" t="n">
        <v>0</v>
      </c>
      <c r="J40" s="10" t="n">
        <v>55000</v>
      </c>
      <c r="K40" s="10" t="n">
        <v>206100</v>
      </c>
      <c r="L40" s="9" t="n">
        <v>8.1</v>
      </c>
      <c r="M40" s="10" t="n">
        <v>50000</v>
      </c>
      <c r="N40" s="8" t="s">
        <v>141</v>
      </c>
      <c r="O40" s="9" t="n">
        <f aca="false">(E40-MIN(E$8:E$45))/(MAX(E$8:E$45)-MIN(E$8:E$45))*10</f>
        <v>6.81159420289855</v>
      </c>
      <c r="P40" s="9" t="n">
        <f aca="false">(MAX(F$8:F$45)-F40)/(MAX(F$8:F$45)-MIN(F$8:F$45))*10</f>
        <v>9.49152542372881</v>
      </c>
      <c r="Q40" s="9" t="n">
        <f aca="false">(G40-MIN(G$8:G$45))/(MAX(G$8:G$45)-MIN(G$8:G$45))*10</f>
        <v>3.77777777777778</v>
      </c>
      <c r="R40" s="9" t="n">
        <f aca="false">(H40-MIN(H$8:H$45))/(MAX(H$8:H$45)-MIN(H$8:H$45))*10</f>
        <v>3.82978723404255</v>
      </c>
      <c r="S40" s="9" t="n">
        <f aca="false">(I40-MIN(I$8:I$45))/(MAX(I$8:I$45)-MIN(I$8:I$45))*10</f>
        <v>0.909090909090909</v>
      </c>
      <c r="T40" s="9" t="n">
        <f aca="false">(K40-J40)/K40*10</f>
        <v>7.33139252789908</v>
      </c>
      <c r="U40" s="11" t="n">
        <f aca="false">O40*B$4+P40*D$4+Q40*F$4+R40*H$4+S40*J$4+T40*L$4</f>
        <v>5.86328226462282</v>
      </c>
      <c r="V40" s="8" t="n">
        <f aca="false">RANK(U40,U$8:U$45,0)</f>
        <v>7</v>
      </c>
    </row>
    <row r="41" customFormat="false" ht="15" hidden="false" customHeight="false" outlineLevel="0" collapsed="false">
      <c r="A41" s="12" t="n">
        <v>34</v>
      </c>
      <c r="B41" s="12" t="s">
        <v>142</v>
      </c>
      <c r="C41" s="13" t="s">
        <v>36</v>
      </c>
      <c r="D41" s="13" t="s">
        <v>134</v>
      </c>
      <c r="E41" s="14" t="n">
        <v>95.8</v>
      </c>
      <c r="F41" s="14" t="n">
        <v>0.5</v>
      </c>
      <c r="G41" s="14" t="n">
        <v>3.1</v>
      </c>
      <c r="H41" s="14" t="n">
        <v>0.5</v>
      </c>
      <c r="I41" s="14" t="n">
        <v>-0.2</v>
      </c>
      <c r="J41" s="15" t="n">
        <v>40000</v>
      </c>
      <c r="K41" s="15" t="n">
        <v>206100</v>
      </c>
      <c r="L41" s="14" t="n">
        <v>10.7</v>
      </c>
      <c r="M41" s="15" t="n">
        <v>48000</v>
      </c>
      <c r="N41" s="13" t="s">
        <v>143</v>
      </c>
      <c r="O41" s="14" t="n">
        <f aca="false">(E41-MIN(E$8:E$45))/(MAX(E$8:E$45)-MIN(E$8:E$45))*10</f>
        <v>6.52173913043478</v>
      </c>
      <c r="P41" s="14" t="n">
        <f aca="false">(MAX(F$8:F$45)-F41)/(MAX(F$8:F$45)-MIN(F$8:F$45))*10</f>
        <v>9.49152542372881</v>
      </c>
      <c r="Q41" s="14" t="n">
        <f aca="false">(G41-MIN(G$8:G$45))/(MAX(G$8:G$45)-MIN(G$8:G$45))*10</f>
        <v>2.33333333333333</v>
      </c>
      <c r="R41" s="14" t="n">
        <f aca="false">(H41-MIN(H$8:H$45))/(MAX(H$8:H$45)-MIN(H$8:H$45))*10</f>
        <v>3.19148936170213</v>
      </c>
      <c r="S41" s="14" t="n">
        <f aca="false">(I41-MIN(I$8:I$45))/(MAX(I$8:I$45)-MIN(I$8:I$45))*10</f>
        <v>0.606060606060606</v>
      </c>
      <c r="T41" s="14" t="n">
        <f aca="false">(K41-J41)/K41*10</f>
        <v>8.05919456574478</v>
      </c>
      <c r="U41" s="16" t="n">
        <f aca="false">O41*B$4+P41*D$4+Q41*F$4+R41*H$4+S41*J$4+T41*L$4</f>
        <v>5.41227199835618</v>
      </c>
      <c r="V41" s="13" t="n">
        <f aca="false">RANK(U41,U$8:U$45,0)</f>
        <v>16</v>
      </c>
    </row>
    <row r="42" customFormat="false" ht="15" hidden="false" customHeight="false" outlineLevel="0" collapsed="false">
      <c r="A42" s="7" t="n">
        <v>35</v>
      </c>
      <c r="B42" s="7" t="s">
        <v>144</v>
      </c>
      <c r="C42" s="8" t="s">
        <v>47</v>
      </c>
      <c r="D42" s="8" t="s">
        <v>134</v>
      </c>
      <c r="E42" s="9" t="n">
        <v>91.6</v>
      </c>
      <c r="F42" s="9" t="n">
        <v>1</v>
      </c>
      <c r="G42" s="9" t="n">
        <v>6.2</v>
      </c>
      <c r="H42" s="9" t="n">
        <v>1.5</v>
      </c>
      <c r="I42" s="9" t="n">
        <v>0.5</v>
      </c>
      <c r="J42" s="10" t="n">
        <v>70000</v>
      </c>
      <c r="K42" s="10" t="n">
        <v>206100</v>
      </c>
      <c r="L42" s="9" t="n">
        <v>7.5</v>
      </c>
      <c r="M42" s="10" t="n">
        <v>60000</v>
      </c>
      <c r="N42" s="8" t="s">
        <v>145</v>
      </c>
      <c r="O42" s="9" t="n">
        <f aca="false">(E42-MIN(E$8:E$45))/(MAX(E$8:E$45)-MIN(E$8:E$45))*10</f>
        <v>0.434782608695648</v>
      </c>
      <c r="P42" s="9" t="n">
        <f aca="false">(MAX(F$8:F$45)-F42)/(MAX(F$8:F$45)-MIN(F$8:F$45))*10</f>
        <v>8.64406779661017</v>
      </c>
      <c r="Q42" s="9" t="n">
        <f aca="false">(G42-MIN(G$8:G$45))/(MAX(G$8:G$45)-MIN(G$8:G$45))*10</f>
        <v>5.77777777777778</v>
      </c>
      <c r="R42" s="9" t="n">
        <f aca="false">(H42-MIN(H$8:H$45))/(MAX(H$8:H$45)-MIN(H$8:H$45))*10</f>
        <v>5.31914893617021</v>
      </c>
      <c r="S42" s="9" t="n">
        <f aca="false">(I42-MIN(I$8:I$45))/(MAX(I$8:I$45)-MIN(I$8:I$45))*10</f>
        <v>1.66666666666667</v>
      </c>
      <c r="T42" s="9" t="n">
        <f aca="false">(K42-J42)/K42*10</f>
        <v>6.60359049005337</v>
      </c>
      <c r="U42" s="11" t="n">
        <f aca="false">O42*B$4+P42*D$4+Q42*F$4+R42*H$4+S42*J$4+T42*L$4</f>
        <v>4.71998668847688</v>
      </c>
      <c r="V42" s="8" t="n">
        <f aca="false">RANK(U42,U$8:U$45,0)</f>
        <v>25</v>
      </c>
    </row>
    <row r="43" customFormat="false" ht="15" hidden="false" customHeight="false" outlineLevel="0" collapsed="false">
      <c r="A43" s="12" t="n">
        <v>36</v>
      </c>
      <c r="B43" s="12" t="s">
        <v>146</v>
      </c>
      <c r="C43" s="13" t="s">
        <v>36</v>
      </c>
      <c r="D43" s="13" t="s">
        <v>134</v>
      </c>
      <c r="E43" s="14" t="n">
        <v>96</v>
      </c>
      <c r="F43" s="14" t="n">
        <v>0.3</v>
      </c>
      <c r="G43" s="14" t="n">
        <v>4</v>
      </c>
      <c r="H43" s="14" t="n">
        <v>-0.5</v>
      </c>
      <c r="I43" s="14" t="n">
        <v>-0.5</v>
      </c>
      <c r="J43" s="15" t="n">
        <v>40000</v>
      </c>
      <c r="K43" s="15" t="n">
        <v>206100</v>
      </c>
      <c r="L43" s="14" t="n">
        <v>10</v>
      </c>
      <c r="M43" s="15" t="n">
        <v>42000</v>
      </c>
      <c r="N43" s="13" t="s">
        <v>147</v>
      </c>
      <c r="O43" s="14" t="n">
        <f aca="false">(E43-MIN(E$8:E$45))/(MAX(E$8:E$45)-MIN(E$8:E$45))*10</f>
        <v>6.81159420289855</v>
      </c>
      <c r="P43" s="14" t="n">
        <f aca="false">(MAX(F$8:F$45)-F43)/(MAX(F$8:F$45)-MIN(F$8:F$45))*10</f>
        <v>9.83050847457627</v>
      </c>
      <c r="Q43" s="14" t="n">
        <f aca="false">(G43-MIN(G$8:G$45))/(MAX(G$8:G$45)-MIN(G$8:G$45))*10</f>
        <v>3.33333333333333</v>
      </c>
      <c r="R43" s="14" t="n">
        <f aca="false">(H43-MIN(H$8:H$45))/(MAX(H$8:H$45)-MIN(H$8:H$45))*10</f>
        <v>1.06382978723404</v>
      </c>
      <c r="S43" s="14" t="n">
        <f aca="false">(I43-MIN(I$8:I$45))/(MAX(I$8:I$45)-MIN(I$8:I$45))*10</f>
        <v>0.151515151515152</v>
      </c>
      <c r="T43" s="14" t="n">
        <f aca="false">(K43-J43)/K43*10</f>
        <v>8.05919456574478</v>
      </c>
      <c r="U43" s="16" t="n">
        <f aca="false">O43*B$4+P43*D$4+Q43*F$4+R43*H$4+S43*J$4+T43*L$4</f>
        <v>5.40487804755923</v>
      </c>
      <c r="V43" s="13" t="n">
        <f aca="false">RANK(U43,U$8:U$45,0)</f>
        <v>17</v>
      </c>
    </row>
    <row r="44" customFormat="false" ht="15" hidden="false" customHeight="false" outlineLevel="0" collapsed="false">
      <c r="A44" s="7" t="n">
        <v>37</v>
      </c>
      <c r="B44" s="7" t="s">
        <v>148</v>
      </c>
      <c r="C44" s="8" t="s">
        <v>74</v>
      </c>
      <c r="D44" s="8" t="s">
        <v>134</v>
      </c>
      <c r="E44" s="9" t="n">
        <v>92.5</v>
      </c>
      <c r="F44" s="9" t="n">
        <v>1</v>
      </c>
      <c r="G44" s="9" t="n">
        <v>4</v>
      </c>
      <c r="H44" s="9" t="n">
        <v>0.5</v>
      </c>
      <c r="I44" s="9" t="n">
        <v>0</v>
      </c>
      <c r="J44" s="10" t="n">
        <v>65000</v>
      </c>
      <c r="K44" s="10" t="n">
        <v>206100</v>
      </c>
      <c r="L44" s="9" t="n">
        <v>8</v>
      </c>
      <c r="M44" s="10" t="n">
        <v>52000</v>
      </c>
      <c r="N44" s="8" t="s">
        <v>149</v>
      </c>
      <c r="O44" s="9" t="n">
        <f aca="false">(E44-MIN(E$8:E$45))/(MAX(E$8:E$45)-MIN(E$8:E$45))*10</f>
        <v>1.73913043478261</v>
      </c>
      <c r="P44" s="9" t="n">
        <f aca="false">(MAX(F$8:F$45)-F44)/(MAX(F$8:F$45)-MIN(F$8:F$45))*10</f>
        <v>8.64406779661017</v>
      </c>
      <c r="Q44" s="9" t="n">
        <f aca="false">(G44-MIN(G$8:G$45))/(MAX(G$8:G$45)-MIN(G$8:G$45))*10</f>
        <v>3.33333333333333</v>
      </c>
      <c r="R44" s="9" t="n">
        <f aca="false">(H44-MIN(H$8:H$45))/(MAX(H$8:H$45)-MIN(H$8:H$45))*10</f>
        <v>3.19148936170213</v>
      </c>
      <c r="S44" s="9" t="n">
        <f aca="false">(I44-MIN(I$8:I$45))/(MAX(I$8:I$45)-MIN(I$8:I$45))*10</f>
        <v>0.909090909090909</v>
      </c>
      <c r="T44" s="9" t="n">
        <f aca="false">(K44-J44)/K44*10</f>
        <v>6.84619116933527</v>
      </c>
      <c r="U44" s="11" t="n">
        <f aca="false">O44*B$4+P44*D$4+Q44*F$4+R44*H$4+S44*J$4+T44*L$4</f>
        <v>4.17440827814604</v>
      </c>
      <c r="V44" s="8" t="n">
        <f aca="false">RANK(U44,U$8:U$45,0)</f>
        <v>31</v>
      </c>
    </row>
    <row r="45" customFormat="false" ht="15" hidden="false" customHeight="false" outlineLevel="0" collapsed="false">
      <c r="A45" s="12" t="n">
        <v>38</v>
      </c>
      <c r="B45" s="12" t="s">
        <v>150</v>
      </c>
      <c r="C45" s="13" t="s">
        <v>74</v>
      </c>
      <c r="D45" s="13" t="s">
        <v>134</v>
      </c>
      <c r="E45" s="14" t="n">
        <v>95</v>
      </c>
      <c r="F45" s="14" t="n">
        <v>0.5</v>
      </c>
      <c r="G45" s="14" t="n">
        <v>3.5</v>
      </c>
      <c r="H45" s="14" t="n">
        <v>0.3</v>
      </c>
      <c r="I45" s="14" t="n">
        <v>-0.3</v>
      </c>
      <c r="J45" s="15" t="n">
        <v>50000</v>
      </c>
      <c r="K45" s="15" t="n">
        <v>206100</v>
      </c>
      <c r="L45" s="14" t="n">
        <v>9</v>
      </c>
      <c r="M45" s="15" t="n">
        <v>48000</v>
      </c>
      <c r="N45" s="13" t="s">
        <v>151</v>
      </c>
      <c r="O45" s="14" t="n">
        <f aca="false">(E45-MIN(E$8:E$45))/(MAX(E$8:E$45)-MIN(E$8:E$45))*10</f>
        <v>5.36231884057971</v>
      </c>
      <c r="P45" s="14" t="n">
        <f aca="false">(MAX(F$8:F$45)-F45)/(MAX(F$8:F$45)-MIN(F$8:F$45))*10</f>
        <v>9.49152542372881</v>
      </c>
      <c r="Q45" s="14" t="n">
        <f aca="false">(G45-MIN(G$8:G$45))/(MAX(G$8:G$45)-MIN(G$8:G$45))*10</f>
        <v>2.77777777777778</v>
      </c>
      <c r="R45" s="14" t="n">
        <f aca="false">(H45-MIN(H$8:H$45))/(MAX(H$8:H$45)-MIN(H$8:H$45))*10</f>
        <v>2.76595744680851</v>
      </c>
      <c r="S45" s="14" t="n">
        <f aca="false">(I45-MIN(I$8:I$45))/(MAX(I$8:I$45)-MIN(I$8:I$45))*10</f>
        <v>0.454545454545455</v>
      </c>
      <c r="T45" s="14" t="n">
        <f aca="false">(K45-J45)/K45*10</f>
        <v>7.57399320718098</v>
      </c>
      <c r="U45" s="16" t="n">
        <f aca="false">O45*B$4+P45*D$4+Q45*F$4+R45*H$4+S45*J$4+T45*L$4</f>
        <v>5.10806444446756</v>
      </c>
      <c r="V45" s="13" t="n">
        <f aca="false">RANK(U45,U$8:U$45,0)</f>
        <v>19</v>
      </c>
    </row>
  </sheetData>
  <autoFilter ref="A7:V45"/>
  <mergeCells count="2">
    <mergeCell ref="A1:P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D22"/>
    <pageSetUpPr fitToPage="fals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40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1" min="16" style="0" width="8"/>
    <col collapsed="false" customWidth="true" hidden="false" outlineLevel="0" max="22" min="22" style="0" width="10"/>
    <col collapsed="false" customWidth="true" hidden="false" outlineLevel="0" max="23" min="23" style="0" width="6"/>
  </cols>
  <sheetData>
    <row r="1" customFormat="false" ht="17.35" hidden="false" customHeight="fals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17" t="s">
        <v>1</v>
      </c>
    </row>
    <row r="4" customFormat="false" ht="15" hidden="false" customHeight="false" outlineLevel="0" collapsed="false">
      <c r="A4" s="3" t="s">
        <v>153</v>
      </c>
      <c r="B4" s="4" t="n">
        <v>0.25</v>
      </c>
      <c r="C4" s="3" t="s">
        <v>154</v>
      </c>
      <c r="D4" s="4" t="n">
        <v>0.2</v>
      </c>
      <c r="E4" s="3" t="s">
        <v>5</v>
      </c>
      <c r="F4" s="4" t="n">
        <v>0.2</v>
      </c>
      <c r="G4" s="3" t="s">
        <v>155</v>
      </c>
      <c r="H4" s="4" t="n">
        <v>0.15</v>
      </c>
      <c r="I4" s="3" t="s">
        <v>156</v>
      </c>
      <c r="J4" s="4" t="n">
        <v>0.1</v>
      </c>
      <c r="K4" s="3" t="s">
        <v>157</v>
      </c>
      <c r="L4" s="4" t="n">
        <v>0.1</v>
      </c>
    </row>
    <row r="5" customFormat="false" ht="15" hidden="false" customHeight="false" outlineLevel="0" collapsed="false">
      <c r="A5" s="3" t="s">
        <v>8</v>
      </c>
      <c r="B5" s="5" t="n">
        <f aca="false">B4+D4+F4+H4+J4+L4</f>
        <v>1</v>
      </c>
    </row>
    <row r="7" customFormat="false" ht="52.2" hidden="false" customHeight="false" outlineLevel="0" collapsed="false">
      <c r="A7" s="6" t="s">
        <v>9</v>
      </c>
      <c r="B7" s="6" t="s">
        <v>10</v>
      </c>
      <c r="C7" s="6" t="s">
        <v>11</v>
      </c>
      <c r="D7" s="6" t="s">
        <v>12</v>
      </c>
      <c r="E7" s="6" t="s">
        <v>158</v>
      </c>
      <c r="F7" s="6" t="s">
        <v>159</v>
      </c>
      <c r="G7" s="6" t="s">
        <v>18</v>
      </c>
      <c r="H7" s="6" t="s">
        <v>160</v>
      </c>
      <c r="I7" s="6" t="s">
        <v>16</v>
      </c>
      <c r="J7" s="6" t="s">
        <v>161</v>
      </c>
      <c r="K7" s="6" t="s">
        <v>162</v>
      </c>
      <c r="L7" s="6" t="s">
        <v>163</v>
      </c>
      <c r="M7" s="6" t="s">
        <v>164</v>
      </c>
      <c r="N7" s="6" t="s">
        <v>165</v>
      </c>
      <c r="O7" s="6" t="s">
        <v>166</v>
      </c>
      <c r="P7" s="6" t="s">
        <v>167</v>
      </c>
      <c r="Q7" s="6" t="s">
        <v>168</v>
      </c>
      <c r="R7" s="6" t="s">
        <v>26</v>
      </c>
      <c r="S7" s="6" t="s">
        <v>169</v>
      </c>
      <c r="T7" s="6" t="s">
        <v>170</v>
      </c>
      <c r="U7" s="6" t="s">
        <v>171</v>
      </c>
      <c r="V7" s="6" t="s">
        <v>29</v>
      </c>
      <c r="W7" s="6" t="s">
        <v>30</v>
      </c>
    </row>
    <row r="8" customFormat="false" ht="15" hidden="false" customHeight="false" outlineLevel="0" collapsed="false">
      <c r="A8" s="7" t="n">
        <v>1</v>
      </c>
      <c r="B8" s="7" t="s">
        <v>172</v>
      </c>
      <c r="C8" s="8" t="s">
        <v>173</v>
      </c>
      <c r="D8" s="8" t="s">
        <v>174</v>
      </c>
      <c r="E8" s="9" t="n">
        <v>11.7</v>
      </c>
      <c r="F8" s="8" t="n">
        <v>-50</v>
      </c>
      <c r="G8" s="10" t="n">
        <v>125000</v>
      </c>
      <c r="H8" s="9" t="n">
        <v>22.5</v>
      </c>
      <c r="I8" s="9" t="n">
        <v>1.8</v>
      </c>
      <c r="J8" s="8" t="s">
        <v>175</v>
      </c>
      <c r="K8" s="18" t="n">
        <v>25000</v>
      </c>
      <c r="L8" s="18" t="n">
        <v>23000</v>
      </c>
      <c r="M8" s="9" t="n">
        <v>5</v>
      </c>
      <c r="N8" s="8" t="n">
        <v>8</v>
      </c>
      <c r="O8" s="9" t="n">
        <v>12</v>
      </c>
      <c r="P8" s="9" t="n">
        <f aca="false">(MIN(F$8:F$38)-F8)/(MIN(F$8:F$38)-MAX(F$8:F$38))*10</f>
        <v>3.24324324324324</v>
      </c>
      <c r="Q8" s="9" t="n">
        <f aca="false">(H8-MIN(H$8:H$38))/(MAX(H$8:H$38)-MIN(H$8:H$38))*10</f>
        <v>7.5</v>
      </c>
      <c r="R8" s="9" t="n">
        <f aca="false">(I8-MIN(I$8:I$38))/(MAX(I$8:I$38)-MIN(I$8:I$38))*10</f>
        <v>3.71428571428571</v>
      </c>
      <c r="S8" s="9" t="n">
        <f aca="false">(MAX(M$8:M$38)-M8)/(MAX(M$8:M$38)-MIN(M$8:M$38))*10</f>
        <v>0</v>
      </c>
      <c r="T8" s="9" t="n">
        <f aca="false">(MAX(N$8:N$38)-N8)/(MAX(N$8:N$38)-MIN(N$8:N$38))*10</f>
        <v>5</v>
      </c>
      <c r="U8" s="9" t="n">
        <f aca="false">(O8-MIN(O$8:O$38))/(MAX(O$8:O$38)-MIN(O$8:O$38))*10</f>
        <v>5.22388059701493</v>
      </c>
      <c r="V8" s="11" t="n">
        <f aca="false">P8*B$4+Q8*D$4+R8*F$4+S8*H$4+T8*J$4+U8*L$4</f>
        <v>4.07605601336945</v>
      </c>
      <c r="W8" s="8" t="n">
        <f aca="false">RANK(V8,V$8:V$38,0)</f>
        <v>14</v>
      </c>
    </row>
    <row r="9" customFormat="false" ht="15" hidden="false" customHeight="false" outlineLevel="0" collapsed="false">
      <c r="A9" s="12" t="n">
        <v>2</v>
      </c>
      <c r="B9" s="12" t="s">
        <v>176</v>
      </c>
      <c r="C9" s="13" t="s">
        <v>177</v>
      </c>
      <c r="D9" s="13" t="s">
        <v>178</v>
      </c>
      <c r="E9" s="14" t="n">
        <v>11</v>
      </c>
      <c r="F9" s="13" t="n">
        <v>-30</v>
      </c>
      <c r="G9" s="15" t="n">
        <v>140000</v>
      </c>
      <c r="H9" s="14" t="n">
        <v>22.5</v>
      </c>
      <c r="I9" s="14" t="n">
        <v>1.5</v>
      </c>
      <c r="J9" s="13" t="s">
        <v>179</v>
      </c>
      <c r="K9" s="19" t="n">
        <v>42000</v>
      </c>
      <c r="L9" s="19" t="n">
        <v>20000</v>
      </c>
      <c r="M9" s="14" t="n">
        <v>4.5</v>
      </c>
      <c r="N9" s="13" t="n">
        <v>1</v>
      </c>
      <c r="O9" s="14" t="n">
        <v>15</v>
      </c>
      <c r="P9" s="14" t="n">
        <f aca="false">(MIN(F$8:F$38)-F9)/(MIN(F$8:F$38)-MAX(F$8:F$38))*10</f>
        <v>3.42342342342342</v>
      </c>
      <c r="Q9" s="14" t="n">
        <f aca="false">(H9-MIN(H$8:H$38))/(MAX(H$8:H$38)-MIN(H$8:H$38))*10</f>
        <v>7.5</v>
      </c>
      <c r="R9" s="14" t="n">
        <f aca="false">(I9-MIN(I$8:I$38))/(MAX(I$8:I$38)-MIN(I$8:I$38))*10</f>
        <v>2.85714285714286</v>
      </c>
      <c r="S9" s="14" t="n">
        <f aca="false">(MAX(M$8:M$38)-M9)/(MAX(M$8:M$38)-MIN(M$8:M$38))*10</f>
        <v>1.11111111111111</v>
      </c>
      <c r="T9" s="14" t="n">
        <f aca="false">(MAX(N$8:N$38)-N9)/(MAX(N$8:N$38)-MIN(N$8:N$38))*10</f>
        <v>10</v>
      </c>
      <c r="U9" s="14" t="n">
        <f aca="false">(O9-MIN(O$8:O$38))/(MAX(O$8:O$38)-MIN(O$8:O$38))*10</f>
        <v>7.46268656716418</v>
      </c>
      <c r="V9" s="16" t="n">
        <f aca="false">P9*B$4+Q9*D$4+R9*F$4+S9*H$4+T9*J$4+U9*L$4</f>
        <v>4.84021975066751</v>
      </c>
      <c r="W9" s="13" t="n">
        <f aca="false">RANK(V9,V$8:V$38,0)</f>
        <v>7</v>
      </c>
    </row>
    <row r="10" customFormat="false" ht="15" hidden="false" customHeight="false" outlineLevel="0" collapsed="false">
      <c r="A10" s="7" t="n">
        <v>3</v>
      </c>
      <c r="B10" s="7" t="s">
        <v>180</v>
      </c>
      <c r="C10" s="8" t="s">
        <v>177</v>
      </c>
      <c r="D10" s="8" t="s">
        <v>181</v>
      </c>
      <c r="E10" s="9" t="n">
        <v>15.3</v>
      </c>
      <c r="F10" s="8" t="n">
        <v>-100</v>
      </c>
      <c r="G10" s="10" t="n">
        <v>120000</v>
      </c>
      <c r="H10" s="9" t="n">
        <v>27.5</v>
      </c>
      <c r="I10" s="9" t="n">
        <v>1.6</v>
      </c>
      <c r="J10" s="8" t="s">
        <v>182</v>
      </c>
      <c r="K10" s="18" t="n">
        <v>30000</v>
      </c>
      <c r="L10" s="18" t="n">
        <v>10000</v>
      </c>
      <c r="M10" s="9" t="n">
        <v>3.5</v>
      </c>
      <c r="N10" s="8" t="n">
        <v>1</v>
      </c>
      <c r="O10" s="9" t="n">
        <v>18</v>
      </c>
      <c r="P10" s="9" t="n">
        <f aca="false">(MIN(F$8:F$38)-F10)/(MIN(F$8:F$38)-MAX(F$8:F$38))*10</f>
        <v>2.79279279279279</v>
      </c>
      <c r="Q10" s="9" t="n">
        <f aca="false">(H10-MIN(H$8:H$38))/(MAX(H$8:H$38)-MIN(H$8:H$38))*10</f>
        <v>10</v>
      </c>
      <c r="R10" s="9" t="n">
        <f aca="false">(I10-MIN(I$8:I$38))/(MAX(I$8:I$38)-MIN(I$8:I$38))*10</f>
        <v>3.14285714285714</v>
      </c>
      <c r="S10" s="9" t="n">
        <f aca="false">(MAX(M$8:M$38)-M10)/(MAX(M$8:M$38)-MIN(M$8:M$38))*10</f>
        <v>3.33333333333333</v>
      </c>
      <c r="T10" s="9" t="n">
        <f aca="false">(MAX(N$8:N$38)-N10)/(MAX(N$8:N$38)-MIN(N$8:N$38))*10</f>
        <v>10</v>
      </c>
      <c r="U10" s="9" t="n">
        <f aca="false">(O10-MIN(O$8:O$38))/(MAX(O$8:O$38)-MIN(O$8:O$38))*10</f>
        <v>9.70149253731344</v>
      </c>
      <c r="V10" s="11" t="n">
        <f aca="false">P10*B$4+Q10*D$4+R10*F$4+S10*H$4+T10*J$4+U10*L$4</f>
        <v>5.79691888050097</v>
      </c>
      <c r="W10" s="8" t="n">
        <f aca="false">RANK(V10,V$8:V$38,0)</f>
        <v>3</v>
      </c>
    </row>
    <row r="11" customFormat="false" ht="15" hidden="false" customHeight="false" outlineLevel="0" collapsed="false">
      <c r="A11" s="12" t="n">
        <v>4</v>
      </c>
      <c r="B11" s="12" t="s">
        <v>183</v>
      </c>
      <c r="C11" s="13" t="s">
        <v>177</v>
      </c>
      <c r="D11" s="13" t="s">
        <v>184</v>
      </c>
      <c r="E11" s="14" t="n">
        <v>11.9</v>
      </c>
      <c r="F11" s="13" t="n">
        <v>-40</v>
      </c>
      <c r="G11" s="15" t="n">
        <v>95000</v>
      </c>
      <c r="H11" s="14" t="n">
        <v>22.5</v>
      </c>
      <c r="I11" s="14" t="n">
        <v>2.6</v>
      </c>
      <c r="J11" s="13" t="s">
        <v>185</v>
      </c>
      <c r="K11" s="19" t="n">
        <v>15000</v>
      </c>
      <c r="L11" s="19" t="n">
        <v>8000</v>
      </c>
      <c r="M11" s="14" t="n">
        <v>3</v>
      </c>
      <c r="N11" s="13" t="n">
        <v>1</v>
      </c>
      <c r="O11" s="14" t="n">
        <v>18.4</v>
      </c>
      <c r="P11" s="14" t="n">
        <f aca="false">(MIN(F$8:F$38)-F11)/(MIN(F$8:F$38)-MAX(F$8:F$38))*10</f>
        <v>3.33333333333333</v>
      </c>
      <c r="Q11" s="14" t="n">
        <f aca="false">(H11-MIN(H$8:H$38))/(MAX(H$8:H$38)-MIN(H$8:H$38))*10</f>
        <v>7.5</v>
      </c>
      <c r="R11" s="14" t="n">
        <f aca="false">(I11-MIN(I$8:I$38))/(MAX(I$8:I$38)-MIN(I$8:I$38))*10</f>
        <v>6</v>
      </c>
      <c r="S11" s="14" t="n">
        <f aca="false">(MAX(M$8:M$38)-M11)/(MAX(M$8:M$38)-MIN(M$8:M$38))*10</f>
        <v>4.44444444444445</v>
      </c>
      <c r="T11" s="14" t="n">
        <f aca="false">(MAX(N$8:N$38)-N11)/(MAX(N$8:N$38)-MIN(N$8:N$38))*10</f>
        <v>10</v>
      </c>
      <c r="U11" s="14" t="n">
        <f aca="false">(O11-MIN(O$8:O$38))/(MAX(O$8:O$38)-MIN(O$8:O$38))*10</f>
        <v>10</v>
      </c>
      <c r="V11" s="16" t="n">
        <f aca="false">P11*B$4+Q11*D$4+R11*F$4+S11*H$4+T11*J$4+U11*L$4</f>
        <v>6.2</v>
      </c>
      <c r="W11" s="13" t="n">
        <f aca="false">RANK(V11,V$8:V$38,0)</f>
        <v>2</v>
      </c>
    </row>
    <row r="12" customFormat="false" ht="15" hidden="false" customHeight="false" outlineLevel="0" collapsed="false">
      <c r="A12" s="7" t="n">
        <v>5</v>
      </c>
      <c r="B12" s="7" t="s">
        <v>186</v>
      </c>
      <c r="C12" s="8" t="s">
        <v>187</v>
      </c>
      <c r="D12" s="8" t="s">
        <v>188</v>
      </c>
      <c r="E12" s="9" t="n">
        <v>10.5</v>
      </c>
      <c r="F12" s="8" t="n">
        <v>-20</v>
      </c>
      <c r="G12" s="10" t="n">
        <v>140000</v>
      </c>
      <c r="H12" s="9" t="n">
        <v>20</v>
      </c>
      <c r="I12" s="9" t="n">
        <v>1.5</v>
      </c>
      <c r="J12" s="8" t="s">
        <v>189</v>
      </c>
      <c r="K12" s="18" t="n">
        <v>10500</v>
      </c>
      <c r="L12" s="18" t="n">
        <v>7000</v>
      </c>
      <c r="M12" s="9" t="n">
        <v>3.5</v>
      </c>
      <c r="N12" s="8" t="n">
        <v>5</v>
      </c>
      <c r="O12" s="9" t="n">
        <v>10</v>
      </c>
      <c r="P12" s="9" t="n">
        <f aca="false">(MIN(F$8:F$38)-F12)/(MIN(F$8:F$38)-MAX(F$8:F$38))*10</f>
        <v>3.51351351351351</v>
      </c>
      <c r="Q12" s="9" t="n">
        <f aca="false">(H12-MIN(H$8:H$38))/(MAX(H$8:H$38)-MIN(H$8:H$38))*10</f>
        <v>6.25</v>
      </c>
      <c r="R12" s="9" t="n">
        <f aca="false">(I12-MIN(I$8:I$38))/(MAX(I$8:I$38)-MIN(I$8:I$38))*10</f>
        <v>2.85714285714286</v>
      </c>
      <c r="S12" s="9" t="n">
        <f aca="false">(MAX(M$8:M$38)-M12)/(MAX(M$8:M$38)-MIN(M$8:M$38))*10</f>
        <v>3.33333333333333</v>
      </c>
      <c r="T12" s="9" t="n">
        <f aca="false">(MAX(N$8:N$38)-N12)/(MAX(N$8:N$38)-MIN(N$8:N$38))*10</f>
        <v>7.14285714285714</v>
      </c>
      <c r="U12" s="9" t="n">
        <f aca="false">(O12-MIN(O$8:O$38))/(MAX(O$8:O$38)-MIN(O$8:O$38))*10</f>
        <v>3.73134328358209</v>
      </c>
      <c r="V12" s="11" t="n">
        <f aca="false">P12*B$4+Q12*D$4+R12*F$4+S12*H$4+T12*J$4+U12*L$4</f>
        <v>4.28722699245087</v>
      </c>
      <c r="W12" s="8" t="n">
        <f aca="false">RANK(V12,V$8:V$38,0)</f>
        <v>11</v>
      </c>
    </row>
    <row r="13" customFormat="false" ht="15" hidden="false" customHeight="false" outlineLevel="0" collapsed="false">
      <c r="A13" s="12" t="n">
        <v>6</v>
      </c>
      <c r="B13" s="12" t="s">
        <v>190</v>
      </c>
      <c r="C13" s="13" t="s">
        <v>187</v>
      </c>
      <c r="D13" s="13" t="s">
        <v>191</v>
      </c>
      <c r="E13" s="14" t="n">
        <v>13.4</v>
      </c>
      <c r="F13" s="13" t="n">
        <v>-170</v>
      </c>
      <c r="G13" s="15" t="n">
        <v>115000</v>
      </c>
      <c r="H13" s="14" t="n">
        <v>22.5</v>
      </c>
      <c r="I13" s="14" t="n">
        <v>1.3</v>
      </c>
      <c r="J13" s="13" t="s">
        <v>192</v>
      </c>
      <c r="K13" s="19" t="n">
        <v>8000</v>
      </c>
      <c r="L13" s="19" t="n">
        <v>5000</v>
      </c>
      <c r="M13" s="14" t="n">
        <v>3</v>
      </c>
      <c r="N13" s="13" t="n">
        <v>5</v>
      </c>
      <c r="O13" s="14" t="n">
        <v>11</v>
      </c>
      <c r="P13" s="14" t="n">
        <f aca="false">(MIN(F$8:F$38)-F13)/(MIN(F$8:F$38)-MAX(F$8:F$38))*10</f>
        <v>2.16216216216216</v>
      </c>
      <c r="Q13" s="14" t="n">
        <f aca="false">(H13-MIN(H$8:H$38))/(MAX(H$8:H$38)-MIN(H$8:H$38))*10</f>
        <v>7.5</v>
      </c>
      <c r="R13" s="14" t="n">
        <f aca="false">(I13-MIN(I$8:I$38))/(MAX(I$8:I$38)-MIN(I$8:I$38))*10</f>
        <v>2.28571428571429</v>
      </c>
      <c r="S13" s="14" t="n">
        <f aca="false">(MAX(M$8:M$38)-M13)/(MAX(M$8:M$38)-MIN(M$8:M$38))*10</f>
        <v>4.44444444444445</v>
      </c>
      <c r="T13" s="14" t="n">
        <f aca="false">(MAX(N$8:N$38)-N13)/(MAX(N$8:N$38)-MIN(N$8:N$38))*10</f>
        <v>7.14285714285714</v>
      </c>
      <c r="U13" s="14" t="n">
        <f aca="false">(O13-MIN(O$8:O$38))/(MAX(O$8:O$38)-MIN(O$8:O$38))*10</f>
        <v>4.47761194029851</v>
      </c>
      <c r="V13" s="16" t="n">
        <f aca="false">P13*B$4+Q13*D$4+R13*F$4+S13*H$4+T13*J$4+U13*L$4</f>
        <v>4.32639697266563</v>
      </c>
      <c r="W13" s="13" t="n">
        <f aca="false">RANK(V13,V$8:V$38,0)</f>
        <v>10</v>
      </c>
    </row>
    <row r="14" customFormat="false" ht="15" hidden="false" customHeight="false" outlineLevel="0" collapsed="false">
      <c r="A14" s="7" t="n">
        <v>7</v>
      </c>
      <c r="B14" s="7" t="s">
        <v>193</v>
      </c>
      <c r="C14" s="8" t="s">
        <v>194</v>
      </c>
      <c r="D14" s="8" t="s">
        <v>195</v>
      </c>
      <c r="E14" s="9" t="n">
        <v>8.5</v>
      </c>
      <c r="F14" s="8" t="n">
        <v>-80</v>
      </c>
      <c r="G14" s="10" t="n">
        <v>130000</v>
      </c>
      <c r="H14" s="9" t="n">
        <v>17.5</v>
      </c>
      <c r="I14" s="9" t="n">
        <v>2.8</v>
      </c>
      <c r="J14" s="8" t="s">
        <v>196</v>
      </c>
      <c r="K14" s="18" t="n">
        <v>12000</v>
      </c>
      <c r="L14" s="18" t="n">
        <v>8000</v>
      </c>
      <c r="M14" s="9" t="n">
        <v>3.5</v>
      </c>
      <c r="N14" s="8" t="n">
        <v>7</v>
      </c>
      <c r="O14" s="9" t="n">
        <v>9</v>
      </c>
      <c r="P14" s="9" t="n">
        <f aca="false">(MIN(F$8:F$38)-F14)/(MIN(F$8:F$38)-MAX(F$8:F$38))*10</f>
        <v>2.97297297297297</v>
      </c>
      <c r="Q14" s="9" t="n">
        <f aca="false">(H14-MIN(H$8:H$38))/(MAX(H$8:H$38)-MIN(H$8:H$38))*10</f>
        <v>5</v>
      </c>
      <c r="R14" s="9" t="n">
        <f aca="false">(I14-MIN(I$8:I$38))/(MAX(I$8:I$38)-MIN(I$8:I$38))*10</f>
        <v>6.57142857142857</v>
      </c>
      <c r="S14" s="9" t="n">
        <f aca="false">(MAX(M$8:M$38)-M14)/(MAX(M$8:M$38)-MIN(M$8:M$38))*10</f>
        <v>3.33333333333333</v>
      </c>
      <c r="T14" s="9" t="n">
        <f aca="false">(MAX(N$8:N$38)-N14)/(MAX(N$8:N$38)-MIN(N$8:N$38))*10</f>
        <v>5.71428571428571</v>
      </c>
      <c r="U14" s="9" t="n">
        <f aca="false">(O14-MIN(O$8:O$38))/(MAX(O$8:O$38)-MIN(O$8:O$38))*10</f>
        <v>2.98507462686567</v>
      </c>
      <c r="V14" s="11" t="n">
        <f aca="false">P14*B$4+Q14*D$4+R14*F$4+S14*H$4+T14*J$4+U14*L$4</f>
        <v>4.4274649916441</v>
      </c>
      <c r="W14" s="8" t="n">
        <f aca="false">RANK(V14,V$8:V$38,0)</f>
        <v>8</v>
      </c>
    </row>
    <row r="15" customFormat="false" ht="15" hidden="false" customHeight="false" outlineLevel="0" collapsed="false">
      <c r="A15" s="12" t="n">
        <v>8</v>
      </c>
      <c r="B15" s="12" t="s">
        <v>197</v>
      </c>
      <c r="C15" s="13" t="s">
        <v>194</v>
      </c>
      <c r="D15" s="13" t="s">
        <v>198</v>
      </c>
      <c r="E15" s="14" t="n">
        <v>9.5</v>
      </c>
      <c r="F15" s="13" t="n">
        <v>-50</v>
      </c>
      <c r="G15" s="15" t="n">
        <v>125000</v>
      </c>
      <c r="H15" s="14" t="n">
        <v>17.5</v>
      </c>
      <c r="I15" s="14" t="n">
        <v>1.1</v>
      </c>
      <c r="J15" s="13" t="s">
        <v>199</v>
      </c>
      <c r="K15" s="19" t="n">
        <v>10000</v>
      </c>
      <c r="L15" s="19" t="n">
        <v>7000</v>
      </c>
      <c r="M15" s="14" t="n">
        <v>3.5</v>
      </c>
      <c r="N15" s="13" t="n">
        <v>7</v>
      </c>
      <c r="O15" s="14" t="n">
        <v>8</v>
      </c>
      <c r="P15" s="14" t="n">
        <f aca="false">(MIN(F$8:F$38)-F15)/(MIN(F$8:F$38)-MAX(F$8:F$38))*10</f>
        <v>3.24324324324324</v>
      </c>
      <c r="Q15" s="14" t="n">
        <f aca="false">(H15-MIN(H$8:H$38))/(MAX(H$8:H$38)-MIN(H$8:H$38))*10</f>
        <v>5</v>
      </c>
      <c r="R15" s="14" t="n">
        <f aca="false">(I15-MIN(I$8:I$38))/(MAX(I$8:I$38)-MIN(I$8:I$38))*10</f>
        <v>1.71428571428571</v>
      </c>
      <c r="S15" s="14" t="n">
        <f aca="false">(MAX(M$8:M$38)-M15)/(MAX(M$8:M$38)-MIN(M$8:M$38))*10</f>
        <v>3.33333333333333</v>
      </c>
      <c r="T15" s="14" t="n">
        <f aca="false">(MAX(N$8:N$38)-N15)/(MAX(N$8:N$38)-MIN(N$8:N$38))*10</f>
        <v>5.71428571428571</v>
      </c>
      <c r="U15" s="14" t="n">
        <f aca="false">(O15-MIN(O$8:O$38))/(MAX(O$8:O$38)-MIN(O$8:O$38))*10</f>
        <v>2.23880597014925</v>
      </c>
      <c r="V15" s="16" t="n">
        <f aca="false">P15*B$4+Q15*D$4+R15*F$4+S15*H$4+T15*J$4+U15*L$4</f>
        <v>3.44897712211145</v>
      </c>
      <c r="W15" s="13" t="n">
        <f aca="false">RANK(V15,V$8:V$38,0)</f>
        <v>23</v>
      </c>
    </row>
    <row r="16" customFormat="false" ht="15" hidden="false" customHeight="false" outlineLevel="0" collapsed="false">
      <c r="A16" s="7" t="n">
        <v>9</v>
      </c>
      <c r="B16" s="7" t="s">
        <v>200</v>
      </c>
      <c r="C16" s="8" t="s">
        <v>201</v>
      </c>
      <c r="D16" s="8" t="s">
        <v>202</v>
      </c>
      <c r="E16" s="9" t="n">
        <v>11.5</v>
      </c>
      <c r="F16" s="8" t="n">
        <v>-30</v>
      </c>
      <c r="G16" s="10" t="n">
        <v>140000</v>
      </c>
      <c r="H16" s="9" t="n">
        <v>20</v>
      </c>
      <c r="I16" s="9" t="n">
        <v>2</v>
      </c>
      <c r="J16" s="8" t="s">
        <v>203</v>
      </c>
      <c r="K16" s="18" t="n">
        <v>9000</v>
      </c>
      <c r="L16" s="18" t="n">
        <v>6000</v>
      </c>
      <c r="M16" s="9" t="n">
        <v>3.5</v>
      </c>
      <c r="N16" s="8" t="n">
        <v>10</v>
      </c>
      <c r="O16" s="9" t="n">
        <v>10</v>
      </c>
      <c r="P16" s="9" t="n">
        <f aca="false">(MIN(F$8:F$38)-F16)/(MIN(F$8:F$38)-MAX(F$8:F$38))*10</f>
        <v>3.42342342342342</v>
      </c>
      <c r="Q16" s="9" t="n">
        <f aca="false">(H16-MIN(H$8:H$38))/(MAX(H$8:H$38)-MIN(H$8:H$38))*10</f>
        <v>6.25</v>
      </c>
      <c r="R16" s="9" t="n">
        <f aca="false">(I16-MIN(I$8:I$38))/(MAX(I$8:I$38)-MIN(I$8:I$38))*10</f>
        <v>4.28571428571429</v>
      </c>
      <c r="S16" s="9" t="n">
        <f aca="false">(MAX(M$8:M$38)-M16)/(MAX(M$8:M$38)-MIN(M$8:M$38))*10</f>
        <v>3.33333333333333</v>
      </c>
      <c r="T16" s="9" t="n">
        <f aca="false">(MAX(N$8:N$38)-N16)/(MAX(N$8:N$38)-MIN(N$8:N$38))*10</f>
        <v>3.57142857142857</v>
      </c>
      <c r="U16" s="9" t="n">
        <f aca="false">(O16-MIN(O$8:O$38))/(MAX(O$8:O$38)-MIN(O$8:O$38))*10</f>
        <v>3.73134328358209</v>
      </c>
      <c r="V16" s="11" t="n">
        <f aca="false">P16*B$4+Q16*D$4+R16*F$4+S16*H$4+T16*J$4+U16*L$4</f>
        <v>4.19327589849978</v>
      </c>
      <c r="W16" s="8" t="n">
        <f aca="false">RANK(V16,V$8:V$38,0)</f>
        <v>13</v>
      </c>
    </row>
    <row r="17" customFormat="false" ht="15" hidden="false" customHeight="false" outlineLevel="0" collapsed="false">
      <c r="A17" s="12" t="n">
        <v>10</v>
      </c>
      <c r="B17" s="12" t="s">
        <v>204</v>
      </c>
      <c r="C17" s="13" t="s">
        <v>205</v>
      </c>
      <c r="D17" s="13" t="s">
        <v>206</v>
      </c>
      <c r="E17" s="14" t="n">
        <v>8.8</v>
      </c>
      <c r="F17" s="13" t="n">
        <v>-120</v>
      </c>
      <c r="G17" s="15" t="n">
        <v>127500</v>
      </c>
      <c r="H17" s="14" t="n">
        <v>17.5</v>
      </c>
      <c r="I17" s="14" t="n">
        <v>3</v>
      </c>
      <c r="J17" s="13" t="s">
        <v>207</v>
      </c>
      <c r="K17" s="19" t="n">
        <v>6500</v>
      </c>
      <c r="L17" s="19" t="n">
        <v>3200</v>
      </c>
      <c r="M17" s="14" t="n">
        <v>4</v>
      </c>
      <c r="N17" s="13" t="n">
        <v>12</v>
      </c>
      <c r="O17" s="14" t="n">
        <v>8</v>
      </c>
      <c r="P17" s="14" t="n">
        <f aca="false">(MIN(F$8:F$38)-F17)/(MIN(F$8:F$38)-MAX(F$8:F$38))*10</f>
        <v>2.61261261261261</v>
      </c>
      <c r="Q17" s="14" t="n">
        <f aca="false">(H17-MIN(H$8:H$38))/(MAX(H$8:H$38)-MIN(H$8:H$38))*10</f>
        <v>5</v>
      </c>
      <c r="R17" s="14" t="n">
        <f aca="false">(I17-MIN(I$8:I$38))/(MAX(I$8:I$38)-MIN(I$8:I$38))*10</f>
        <v>7.14285714285714</v>
      </c>
      <c r="S17" s="14" t="n">
        <f aca="false">(MAX(M$8:M$38)-M17)/(MAX(M$8:M$38)-MIN(M$8:M$38))*10</f>
        <v>2.22222222222222</v>
      </c>
      <c r="T17" s="14" t="n">
        <f aca="false">(MAX(N$8:N$38)-N17)/(MAX(N$8:N$38)-MIN(N$8:N$38))*10</f>
        <v>2.14285714285714</v>
      </c>
      <c r="U17" s="14" t="n">
        <f aca="false">(O17-MIN(O$8:O$38))/(MAX(O$8:O$38)-MIN(O$8:O$38))*10</f>
        <v>2.23880597014925</v>
      </c>
      <c r="V17" s="16" t="n">
        <f aca="false">P17*B$4+Q17*D$4+R17*F$4+S17*H$4+T17*J$4+U17*L$4</f>
        <v>3.85322422635856</v>
      </c>
      <c r="W17" s="13" t="n">
        <f aca="false">RANK(V17,V$8:V$38,0)</f>
        <v>18</v>
      </c>
    </row>
    <row r="18" customFormat="false" ht="15" hidden="false" customHeight="false" outlineLevel="0" collapsed="false">
      <c r="A18" s="7" t="n">
        <v>11</v>
      </c>
      <c r="B18" s="7" t="s">
        <v>208</v>
      </c>
      <c r="C18" s="8" t="s">
        <v>209</v>
      </c>
      <c r="D18" s="8" t="s">
        <v>210</v>
      </c>
      <c r="E18" s="9" t="n">
        <v>8.5</v>
      </c>
      <c r="F18" s="8" t="n">
        <v>-170</v>
      </c>
      <c r="G18" s="10" t="n">
        <v>115000</v>
      </c>
      <c r="H18" s="9" t="n">
        <v>17.5</v>
      </c>
      <c r="I18" s="9" t="n">
        <v>2.9</v>
      </c>
      <c r="J18" s="8" t="s">
        <v>211</v>
      </c>
      <c r="K18" s="18" t="n">
        <v>5000</v>
      </c>
      <c r="L18" s="18" t="n">
        <v>4423</v>
      </c>
      <c r="M18" s="9" t="n">
        <v>3.5</v>
      </c>
      <c r="N18" s="8" t="n">
        <v>9</v>
      </c>
      <c r="O18" s="9" t="n">
        <v>7</v>
      </c>
      <c r="P18" s="9" t="n">
        <f aca="false">(MIN(F$8:F$38)-F18)/(MIN(F$8:F$38)-MAX(F$8:F$38))*10</f>
        <v>2.16216216216216</v>
      </c>
      <c r="Q18" s="9" t="n">
        <f aca="false">(H18-MIN(H$8:H$38))/(MAX(H$8:H$38)-MIN(H$8:H$38))*10</f>
        <v>5</v>
      </c>
      <c r="R18" s="9" t="n">
        <f aca="false">(I18-MIN(I$8:I$38))/(MAX(I$8:I$38)-MIN(I$8:I$38))*10</f>
        <v>6.85714285714286</v>
      </c>
      <c r="S18" s="9" t="n">
        <f aca="false">(MAX(M$8:M$38)-M18)/(MAX(M$8:M$38)-MIN(M$8:M$38))*10</f>
        <v>3.33333333333333</v>
      </c>
      <c r="T18" s="9" t="n">
        <f aca="false">(MAX(N$8:N$38)-N18)/(MAX(N$8:N$38)-MIN(N$8:N$38))*10</f>
        <v>4.28571428571429</v>
      </c>
      <c r="U18" s="9" t="n">
        <f aca="false">(O18-MIN(O$8:O$38))/(MAX(O$8:O$38)-MIN(O$8:O$38))*10</f>
        <v>1.49253731343284</v>
      </c>
      <c r="V18" s="11" t="n">
        <f aca="false">P18*B$4+Q18*D$4+R18*F$4+S18*H$4+T18*J$4+U18*L$4</f>
        <v>3.98979427188382</v>
      </c>
      <c r="W18" s="8" t="n">
        <f aca="false">RANK(V18,V$8:V$38,0)</f>
        <v>15</v>
      </c>
    </row>
    <row r="19" customFormat="false" ht="15" hidden="false" customHeight="false" outlineLevel="0" collapsed="false">
      <c r="A19" s="12" t="n">
        <v>12</v>
      </c>
      <c r="B19" s="12" t="s">
        <v>212</v>
      </c>
      <c r="C19" s="13" t="s">
        <v>213</v>
      </c>
      <c r="D19" s="13" t="s">
        <v>214</v>
      </c>
      <c r="E19" s="14" t="n">
        <v>7</v>
      </c>
      <c r="F19" s="13" t="n">
        <v>-350</v>
      </c>
      <c r="G19" s="15" t="n">
        <v>160000</v>
      </c>
      <c r="H19" s="14" t="n">
        <v>17.5</v>
      </c>
      <c r="I19" s="14" t="n">
        <v>3.3</v>
      </c>
      <c r="J19" s="13" t="s">
        <v>215</v>
      </c>
      <c r="K19" s="19" t="n">
        <v>4000</v>
      </c>
      <c r="L19" s="19" t="n">
        <v>2000</v>
      </c>
      <c r="M19" s="14" t="n">
        <v>3</v>
      </c>
      <c r="N19" s="13" t="n">
        <v>15</v>
      </c>
      <c r="O19" s="14" t="n">
        <v>5</v>
      </c>
      <c r="P19" s="14" t="n">
        <f aca="false">(MIN(F$8:F$38)-F19)/(MIN(F$8:F$38)-MAX(F$8:F$38))*10</f>
        <v>0.540540540540541</v>
      </c>
      <c r="Q19" s="14" t="n">
        <f aca="false">(H19-MIN(H$8:H$38))/(MAX(H$8:H$38)-MIN(H$8:H$38))*10</f>
        <v>5</v>
      </c>
      <c r="R19" s="14" t="n">
        <f aca="false">(I19-MIN(I$8:I$38))/(MAX(I$8:I$38)-MIN(I$8:I$38))*10</f>
        <v>8</v>
      </c>
      <c r="S19" s="14" t="n">
        <f aca="false">(MAX(M$8:M$38)-M19)/(MAX(M$8:M$38)-MIN(M$8:M$38))*10</f>
        <v>4.44444444444445</v>
      </c>
      <c r="T19" s="14" t="n">
        <f aca="false">(MAX(N$8:N$38)-N19)/(MAX(N$8:N$38)-MIN(N$8:N$38))*10</f>
        <v>0</v>
      </c>
      <c r="U19" s="14" t="n">
        <f aca="false">(O19-MIN(O$8:O$38))/(MAX(O$8:O$38)-MIN(O$8:O$38))*10</f>
        <v>0</v>
      </c>
      <c r="V19" s="16" t="n">
        <f aca="false">P19*B$4+Q19*D$4+R19*F$4+S19*H$4+T19*J$4+U19*L$4</f>
        <v>3.4018018018018</v>
      </c>
      <c r="W19" s="13" t="n">
        <f aca="false">RANK(V19,V$8:V$38,0)</f>
        <v>24</v>
      </c>
    </row>
    <row r="20" customFormat="false" ht="15" hidden="false" customHeight="false" outlineLevel="0" collapsed="false">
      <c r="A20" s="7" t="n">
        <v>13</v>
      </c>
      <c r="B20" s="7" t="s">
        <v>216</v>
      </c>
      <c r="C20" s="8" t="s">
        <v>217</v>
      </c>
      <c r="D20" s="8" t="s">
        <v>218</v>
      </c>
      <c r="E20" s="9" t="n">
        <v>9</v>
      </c>
      <c r="F20" s="8" t="n">
        <v>-50</v>
      </c>
      <c r="G20" s="10" t="n">
        <v>125000</v>
      </c>
      <c r="H20" s="9" t="n">
        <v>14</v>
      </c>
      <c r="I20" s="9" t="n">
        <v>1.8</v>
      </c>
      <c r="J20" s="8" t="s">
        <v>219</v>
      </c>
      <c r="K20" s="18" t="n">
        <v>5000</v>
      </c>
      <c r="L20" s="18" t="n">
        <v>3000</v>
      </c>
      <c r="M20" s="9" t="n">
        <v>3</v>
      </c>
      <c r="N20" s="8" t="n">
        <v>11</v>
      </c>
      <c r="O20" s="9" t="n">
        <v>7</v>
      </c>
      <c r="P20" s="9" t="n">
        <f aca="false">(MIN(F$8:F$38)-F20)/(MIN(F$8:F$38)-MAX(F$8:F$38))*10</f>
        <v>3.24324324324324</v>
      </c>
      <c r="Q20" s="9" t="n">
        <f aca="false">(H20-MIN(H$8:H$38))/(MAX(H$8:H$38)-MIN(H$8:H$38))*10</f>
        <v>3.25</v>
      </c>
      <c r="R20" s="9" t="n">
        <f aca="false">(I20-MIN(I$8:I$38))/(MAX(I$8:I$38)-MIN(I$8:I$38))*10</f>
        <v>3.71428571428571</v>
      </c>
      <c r="S20" s="9" t="n">
        <f aca="false">(MAX(M$8:M$38)-M20)/(MAX(M$8:M$38)-MIN(M$8:M$38))*10</f>
        <v>4.44444444444445</v>
      </c>
      <c r="T20" s="9" t="n">
        <f aca="false">(MAX(N$8:N$38)-N20)/(MAX(N$8:N$38)-MIN(N$8:N$38))*10</f>
        <v>2.85714285714286</v>
      </c>
      <c r="U20" s="9" t="n">
        <f aca="false">(O20-MIN(O$8:O$38))/(MAX(O$8:O$38)-MIN(O$8:O$38))*10</f>
        <v>1.49253731343284</v>
      </c>
      <c r="V20" s="11" t="n">
        <f aca="false">P20*B$4+Q20*D$4+R20*F$4+S20*H$4+T20*J$4+U20*L$4</f>
        <v>3.30530263739219</v>
      </c>
      <c r="W20" s="8" t="n">
        <f aca="false">RANK(V20,V$8:V$38,0)</f>
        <v>27</v>
      </c>
    </row>
    <row r="21" customFormat="false" ht="15" hidden="false" customHeight="false" outlineLevel="0" collapsed="false">
      <c r="A21" s="12" t="n">
        <v>14</v>
      </c>
      <c r="B21" s="12" t="s">
        <v>220</v>
      </c>
      <c r="C21" s="13" t="s">
        <v>221</v>
      </c>
      <c r="D21" s="13" t="s">
        <v>222</v>
      </c>
      <c r="E21" s="14" t="n">
        <v>8</v>
      </c>
      <c r="F21" s="13" t="n">
        <v>-220</v>
      </c>
      <c r="G21" s="15" t="n">
        <v>105000</v>
      </c>
      <c r="H21" s="14" t="n">
        <v>14</v>
      </c>
      <c r="I21" s="14" t="n">
        <v>1.5</v>
      </c>
      <c r="J21" s="13" t="s">
        <v>223</v>
      </c>
      <c r="K21" s="19" t="n">
        <v>3000</v>
      </c>
      <c r="L21" s="19" t="n">
        <v>1500</v>
      </c>
      <c r="M21" s="14" t="n">
        <v>2.5</v>
      </c>
      <c r="N21" s="13" t="n">
        <v>13</v>
      </c>
      <c r="O21" s="14" t="n">
        <v>6</v>
      </c>
      <c r="P21" s="14" t="n">
        <f aca="false">(MIN(F$8:F$38)-F21)/(MIN(F$8:F$38)-MAX(F$8:F$38))*10</f>
        <v>1.71171171171171</v>
      </c>
      <c r="Q21" s="14" t="n">
        <f aca="false">(H21-MIN(H$8:H$38))/(MAX(H$8:H$38)-MIN(H$8:H$38))*10</f>
        <v>3.25</v>
      </c>
      <c r="R21" s="14" t="n">
        <f aca="false">(I21-MIN(I$8:I$38))/(MAX(I$8:I$38)-MIN(I$8:I$38))*10</f>
        <v>2.85714285714286</v>
      </c>
      <c r="S21" s="14" t="n">
        <f aca="false">(MAX(M$8:M$38)-M21)/(MAX(M$8:M$38)-MIN(M$8:M$38))*10</f>
        <v>5.55555555555556</v>
      </c>
      <c r="T21" s="14" t="n">
        <f aca="false">(MAX(N$8:N$38)-N21)/(MAX(N$8:N$38)-MIN(N$8:N$38))*10</f>
        <v>1.42857142857143</v>
      </c>
      <c r="U21" s="14" t="n">
        <f aca="false">(O21-MIN(O$8:O$38))/(MAX(O$8:O$38)-MIN(O$8:O$38))*10</f>
        <v>0.746268656716418</v>
      </c>
      <c r="V21" s="16" t="n">
        <f aca="false">P21*B$4+Q21*D$4+R21*F$4+S21*H$4+T21*J$4+U21*L$4</f>
        <v>2.70017384121862</v>
      </c>
      <c r="W21" s="13" t="n">
        <f aca="false">RANK(V21,V$8:V$38,0)</f>
        <v>31</v>
      </c>
    </row>
    <row r="22" customFormat="false" ht="15" hidden="false" customHeight="false" outlineLevel="0" collapsed="false">
      <c r="A22" s="7" t="n">
        <v>15</v>
      </c>
      <c r="B22" s="7" t="s">
        <v>224</v>
      </c>
      <c r="C22" s="8" t="s">
        <v>173</v>
      </c>
      <c r="D22" s="8" t="s">
        <v>225</v>
      </c>
      <c r="E22" s="9" t="n">
        <v>9</v>
      </c>
      <c r="F22" s="8" t="n">
        <v>-80</v>
      </c>
      <c r="G22" s="10" t="n">
        <v>95000</v>
      </c>
      <c r="H22" s="9" t="n">
        <v>17.5</v>
      </c>
      <c r="I22" s="9" t="n">
        <v>1.3</v>
      </c>
      <c r="J22" s="8" t="s">
        <v>226</v>
      </c>
      <c r="K22" s="18" t="n">
        <v>4000</v>
      </c>
      <c r="L22" s="18" t="n">
        <v>2000</v>
      </c>
      <c r="M22" s="9" t="n">
        <v>2.5</v>
      </c>
      <c r="N22" s="8" t="n">
        <v>8</v>
      </c>
      <c r="O22" s="9" t="n">
        <v>9</v>
      </c>
      <c r="P22" s="9" t="n">
        <f aca="false">(MIN(F$8:F$38)-F22)/(MIN(F$8:F$38)-MAX(F$8:F$38))*10</f>
        <v>2.97297297297297</v>
      </c>
      <c r="Q22" s="9" t="n">
        <f aca="false">(H22-MIN(H$8:H$38))/(MAX(H$8:H$38)-MIN(H$8:H$38))*10</f>
        <v>5</v>
      </c>
      <c r="R22" s="9" t="n">
        <f aca="false">(I22-MIN(I$8:I$38))/(MAX(I$8:I$38)-MIN(I$8:I$38))*10</f>
        <v>2.28571428571429</v>
      </c>
      <c r="S22" s="9" t="n">
        <f aca="false">(MAX(M$8:M$38)-M22)/(MAX(M$8:M$38)-MIN(M$8:M$38))*10</f>
        <v>5.55555555555556</v>
      </c>
      <c r="T22" s="9" t="n">
        <f aca="false">(MAX(N$8:N$38)-N22)/(MAX(N$8:N$38)-MIN(N$8:N$38))*10</f>
        <v>5</v>
      </c>
      <c r="U22" s="9" t="n">
        <f aca="false">(O22-MIN(O$8:O$38))/(MAX(O$8:O$38)-MIN(O$8:O$38))*10</f>
        <v>2.98507462686567</v>
      </c>
      <c r="V22" s="11" t="n">
        <f aca="false">P22*B$4+Q22*D$4+R22*F$4+S22*H$4+T22*J$4+U22*L$4</f>
        <v>3.832226896406</v>
      </c>
      <c r="W22" s="8" t="n">
        <f aca="false">RANK(V22,V$8:V$38,0)</f>
        <v>19</v>
      </c>
    </row>
    <row r="23" customFormat="false" ht="15" hidden="false" customHeight="false" outlineLevel="0" collapsed="false">
      <c r="A23" s="12" t="n">
        <v>16</v>
      </c>
      <c r="B23" s="12" t="s">
        <v>227</v>
      </c>
      <c r="C23" s="13" t="s">
        <v>67</v>
      </c>
      <c r="D23" s="13" t="s">
        <v>228</v>
      </c>
      <c r="E23" s="14" t="n">
        <v>10.5</v>
      </c>
      <c r="F23" s="13" t="n">
        <v>-160</v>
      </c>
      <c r="G23" s="15" t="n">
        <v>91000</v>
      </c>
      <c r="H23" s="14" t="n">
        <v>18.5</v>
      </c>
      <c r="I23" s="14" t="n">
        <v>0.5</v>
      </c>
      <c r="J23" s="13" t="s">
        <v>229</v>
      </c>
      <c r="K23" s="19" t="n">
        <v>3000</v>
      </c>
      <c r="L23" s="19" t="n">
        <v>556</v>
      </c>
      <c r="M23" s="14" t="n">
        <v>2</v>
      </c>
      <c r="N23" s="13" t="n">
        <v>6</v>
      </c>
      <c r="O23" s="14" t="n">
        <v>8</v>
      </c>
      <c r="P23" s="14" t="n">
        <f aca="false">(MIN(F$8:F$38)-F23)/(MIN(F$8:F$38)-MAX(F$8:F$38))*10</f>
        <v>2.25225225225225</v>
      </c>
      <c r="Q23" s="14" t="n">
        <f aca="false">(H23-MIN(H$8:H$38))/(MAX(H$8:H$38)-MIN(H$8:H$38))*10</f>
        <v>5.5</v>
      </c>
      <c r="R23" s="14" t="n">
        <f aca="false">(I23-MIN(I$8:I$38))/(MAX(I$8:I$38)-MIN(I$8:I$38))*10</f>
        <v>0</v>
      </c>
      <c r="S23" s="14" t="n">
        <f aca="false">(MAX(M$8:M$38)-M23)/(MAX(M$8:M$38)-MIN(M$8:M$38))*10</f>
        <v>6.66666666666667</v>
      </c>
      <c r="T23" s="14" t="n">
        <f aca="false">(MAX(N$8:N$38)-N23)/(MAX(N$8:N$38)-MIN(N$8:N$38))*10</f>
        <v>6.42857142857143</v>
      </c>
      <c r="U23" s="14" t="n">
        <f aca="false">(O23-MIN(O$8:O$38))/(MAX(O$8:O$38)-MIN(O$8:O$38))*10</f>
        <v>2.23880597014925</v>
      </c>
      <c r="V23" s="16" t="n">
        <f aca="false">P23*B$4+Q23*D$4+R23*F$4+S23*H$4+T23*J$4+U23*L$4</f>
        <v>3.52980080293513</v>
      </c>
      <c r="W23" s="13" t="n">
        <f aca="false">RANK(V23,V$8:V$38,0)</f>
        <v>21</v>
      </c>
    </row>
    <row r="24" customFormat="false" ht="15" hidden="false" customHeight="false" outlineLevel="0" collapsed="false">
      <c r="A24" s="7" t="n">
        <v>17</v>
      </c>
      <c r="B24" s="7" t="s">
        <v>230</v>
      </c>
      <c r="C24" s="8" t="s">
        <v>67</v>
      </c>
      <c r="D24" s="8" t="s">
        <v>231</v>
      </c>
      <c r="E24" s="9" t="n">
        <v>5.9</v>
      </c>
      <c r="F24" s="8" t="n">
        <v>100</v>
      </c>
      <c r="G24" s="10" t="n">
        <v>125000</v>
      </c>
      <c r="H24" s="9" t="n">
        <v>12.5</v>
      </c>
      <c r="I24" s="9" t="n">
        <v>1.1</v>
      </c>
      <c r="J24" s="8" t="s">
        <v>232</v>
      </c>
      <c r="K24" s="18" t="n">
        <v>4545</v>
      </c>
      <c r="L24" s="18" t="n">
        <v>4545</v>
      </c>
      <c r="M24" s="9" t="n">
        <v>4</v>
      </c>
      <c r="N24" s="8" t="n">
        <v>6</v>
      </c>
      <c r="O24" s="9" t="n">
        <v>6</v>
      </c>
      <c r="P24" s="9" t="n">
        <f aca="false">(MIN(F$8:F$38)-F24)/(MIN(F$8:F$38)-MAX(F$8:F$38))*10</f>
        <v>4.5945945945946</v>
      </c>
      <c r="Q24" s="9" t="n">
        <f aca="false">(H24-MIN(H$8:H$38))/(MAX(H$8:H$38)-MIN(H$8:H$38))*10</f>
        <v>2.5</v>
      </c>
      <c r="R24" s="9" t="n">
        <f aca="false">(I24-MIN(I$8:I$38))/(MAX(I$8:I$38)-MIN(I$8:I$38))*10</f>
        <v>1.71428571428571</v>
      </c>
      <c r="S24" s="9" t="n">
        <f aca="false">(MAX(M$8:M$38)-M24)/(MAX(M$8:M$38)-MIN(M$8:M$38))*10</f>
        <v>2.22222222222222</v>
      </c>
      <c r="T24" s="9" t="n">
        <f aca="false">(MAX(N$8:N$38)-N24)/(MAX(N$8:N$38)-MIN(N$8:N$38))*10</f>
        <v>6.42857142857143</v>
      </c>
      <c r="U24" s="9" t="n">
        <f aca="false">(O24-MIN(O$8:O$38))/(MAX(O$8:O$38)-MIN(O$8:O$38))*10</f>
        <v>0.746268656716418</v>
      </c>
      <c r="V24" s="11" t="n">
        <f aca="false">P24*B$4+Q24*D$4+R24*F$4+S24*H$4+T24*J$4+U24*L$4</f>
        <v>3.04232313336791</v>
      </c>
      <c r="W24" s="8" t="n">
        <f aca="false">RANK(V24,V$8:V$38,0)</f>
        <v>29</v>
      </c>
    </row>
    <row r="25" customFormat="false" ht="15" hidden="false" customHeight="false" outlineLevel="0" collapsed="false">
      <c r="A25" s="12" t="n">
        <v>18</v>
      </c>
      <c r="B25" s="12" t="s">
        <v>233</v>
      </c>
      <c r="C25" s="13" t="s">
        <v>187</v>
      </c>
      <c r="D25" s="13" t="s">
        <v>234</v>
      </c>
      <c r="E25" s="14" t="n">
        <v>9</v>
      </c>
      <c r="F25" s="13" t="n">
        <v>-30</v>
      </c>
      <c r="G25" s="15" t="n">
        <v>92500</v>
      </c>
      <c r="H25" s="14" t="n">
        <v>12.5</v>
      </c>
      <c r="I25" s="14" t="n">
        <v>1</v>
      </c>
      <c r="J25" s="13" t="s">
        <v>235</v>
      </c>
      <c r="K25" s="19" t="n">
        <v>2000</v>
      </c>
      <c r="L25" s="19" t="n">
        <v>1500</v>
      </c>
      <c r="M25" s="14" t="n">
        <v>2.5</v>
      </c>
      <c r="N25" s="13" t="n">
        <v>5</v>
      </c>
      <c r="O25" s="14" t="n">
        <v>7</v>
      </c>
      <c r="P25" s="14" t="n">
        <f aca="false">(MIN(F$8:F$38)-F25)/(MIN(F$8:F$38)-MAX(F$8:F$38))*10</f>
        <v>3.42342342342342</v>
      </c>
      <c r="Q25" s="14" t="n">
        <f aca="false">(H25-MIN(H$8:H$38))/(MAX(H$8:H$38)-MIN(H$8:H$38))*10</f>
        <v>2.5</v>
      </c>
      <c r="R25" s="14" t="n">
        <f aca="false">(I25-MIN(I$8:I$38))/(MAX(I$8:I$38)-MIN(I$8:I$38))*10</f>
        <v>1.42857142857143</v>
      </c>
      <c r="S25" s="14" t="n">
        <f aca="false">(MAX(M$8:M$38)-M25)/(MAX(M$8:M$38)-MIN(M$8:M$38))*10</f>
        <v>5.55555555555556</v>
      </c>
      <c r="T25" s="14" t="n">
        <f aca="false">(MAX(N$8:N$38)-N25)/(MAX(N$8:N$38)-MIN(N$8:N$38))*10</f>
        <v>7.14285714285714</v>
      </c>
      <c r="U25" s="14" t="n">
        <f aca="false">(O25-MIN(O$8:O$38))/(MAX(O$8:O$38)-MIN(O$8:O$38))*10</f>
        <v>1.49253731343284</v>
      </c>
      <c r="V25" s="16" t="n">
        <f aca="false">P25*B$4+Q25*D$4+R25*F$4+S25*H$4+T25*J$4+U25*L$4</f>
        <v>3.33844292053247</v>
      </c>
      <c r="W25" s="13" t="n">
        <f aca="false">RANK(V25,V$8:V$38,0)</f>
        <v>25</v>
      </c>
    </row>
    <row r="26" customFormat="false" ht="15" hidden="false" customHeight="false" outlineLevel="0" collapsed="false">
      <c r="A26" s="7" t="n">
        <v>19</v>
      </c>
      <c r="B26" s="7" t="s">
        <v>236</v>
      </c>
      <c r="C26" s="8" t="s">
        <v>237</v>
      </c>
      <c r="D26" s="8" t="s">
        <v>238</v>
      </c>
      <c r="E26" s="9" t="n">
        <v>5.2</v>
      </c>
      <c r="F26" s="8" t="n">
        <v>50</v>
      </c>
      <c r="G26" s="10" t="n">
        <v>110000</v>
      </c>
      <c r="H26" s="9" t="n">
        <v>7.5</v>
      </c>
      <c r="I26" s="9" t="n">
        <v>2.5</v>
      </c>
      <c r="J26" s="8" t="s">
        <v>239</v>
      </c>
      <c r="K26" s="18" t="n">
        <v>2600</v>
      </c>
      <c r="L26" s="18" t="n">
        <v>2000</v>
      </c>
      <c r="M26" s="9" t="n">
        <v>3.5</v>
      </c>
      <c r="N26" s="8" t="n">
        <v>4</v>
      </c>
      <c r="O26" s="9" t="n">
        <v>5</v>
      </c>
      <c r="P26" s="9" t="n">
        <f aca="false">(MIN(F$8:F$38)-F26)/(MIN(F$8:F$38)-MAX(F$8:F$38))*10</f>
        <v>4.14414414414414</v>
      </c>
      <c r="Q26" s="9" t="n">
        <f aca="false">(H26-MIN(H$8:H$38))/(MAX(H$8:H$38)-MIN(H$8:H$38))*10</f>
        <v>0</v>
      </c>
      <c r="R26" s="9" t="n">
        <f aca="false">(I26-MIN(I$8:I$38))/(MAX(I$8:I$38)-MIN(I$8:I$38))*10</f>
        <v>5.71428571428571</v>
      </c>
      <c r="S26" s="9" t="n">
        <f aca="false">(MAX(M$8:M$38)-M26)/(MAX(M$8:M$38)-MIN(M$8:M$38))*10</f>
        <v>3.33333333333333</v>
      </c>
      <c r="T26" s="9" t="n">
        <f aca="false">(MAX(N$8:N$38)-N26)/(MAX(N$8:N$38)-MIN(N$8:N$38))*10</f>
        <v>7.85714285714286</v>
      </c>
      <c r="U26" s="9" t="n">
        <f aca="false">(O26-MIN(O$8:O$38))/(MAX(O$8:O$38)-MIN(O$8:O$38))*10</f>
        <v>0</v>
      </c>
      <c r="V26" s="11" t="n">
        <f aca="false">P26*B$4+Q26*D$4+R26*F$4+S26*H$4+T26*J$4+U26*L$4</f>
        <v>3.46460746460746</v>
      </c>
      <c r="W26" s="8" t="n">
        <f aca="false">RANK(V26,V$8:V$38,0)</f>
        <v>22</v>
      </c>
    </row>
    <row r="27" customFormat="false" ht="15" hidden="false" customHeight="false" outlineLevel="0" collapsed="false">
      <c r="A27" s="12" t="n">
        <v>20</v>
      </c>
      <c r="B27" s="12" t="s">
        <v>240</v>
      </c>
      <c r="C27" s="13" t="s">
        <v>237</v>
      </c>
      <c r="D27" s="13" t="s">
        <v>241</v>
      </c>
      <c r="E27" s="14" t="n">
        <v>12.2</v>
      </c>
      <c r="F27" s="13" t="n">
        <v>-30</v>
      </c>
      <c r="G27" s="15" t="n">
        <v>75000</v>
      </c>
      <c r="H27" s="14" t="n">
        <v>17.5</v>
      </c>
      <c r="I27" s="14" t="n">
        <v>1</v>
      </c>
      <c r="J27" s="13" t="s">
        <v>242</v>
      </c>
      <c r="K27" s="19" t="n">
        <v>3000</v>
      </c>
      <c r="L27" s="19" t="n">
        <v>1500</v>
      </c>
      <c r="M27" s="14" t="n">
        <v>3</v>
      </c>
      <c r="N27" s="13" t="n">
        <v>4</v>
      </c>
      <c r="O27" s="14" t="n">
        <v>9</v>
      </c>
      <c r="P27" s="14" t="n">
        <f aca="false">(MIN(F$8:F$38)-F27)/(MIN(F$8:F$38)-MAX(F$8:F$38))*10</f>
        <v>3.42342342342342</v>
      </c>
      <c r="Q27" s="14" t="n">
        <f aca="false">(H27-MIN(H$8:H$38))/(MAX(H$8:H$38)-MIN(H$8:H$38))*10</f>
        <v>5</v>
      </c>
      <c r="R27" s="14" t="n">
        <f aca="false">(I27-MIN(I$8:I$38))/(MAX(I$8:I$38)-MIN(I$8:I$38))*10</f>
        <v>1.42857142857143</v>
      </c>
      <c r="S27" s="14" t="n">
        <f aca="false">(MAX(M$8:M$38)-M27)/(MAX(M$8:M$38)-MIN(M$8:M$38))*10</f>
        <v>4.44444444444445</v>
      </c>
      <c r="T27" s="14" t="n">
        <f aca="false">(MAX(N$8:N$38)-N27)/(MAX(N$8:N$38)-MIN(N$8:N$38))*10</f>
        <v>7.85714285714286</v>
      </c>
      <c r="U27" s="14" t="n">
        <f aca="false">(O27-MIN(O$8:O$38))/(MAX(O$8:O$38)-MIN(O$8:O$38))*10</f>
        <v>2.98507462686567</v>
      </c>
      <c r="V27" s="16" t="n">
        <f aca="false">P27*B$4+Q27*D$4+R27*F$4+S27*H$4+T27*J$4+U27*L$4</f>
        <v>3.89245855663766</v>
      </c>
      <c r="W27" s="13" t="n">
        <f aca="false">RANK(V27,V$8:V$38,0)</f>
        <v>17</v>
      </c>
    </row>
    <row r="28" customFormat="false" ht="15" hidden="false" customHeight="false" outlineLevel="0" collapsed="false">
      <c r="A28" s="7" t="n">
        <v>21</v>
      </c>
      <c r="B28" s="7" t="s">
        <v>243</v>
      </c>
      <c r="C28" s="8" t="s">
        <v>209</v>
      </c>
      <c r="D28" s="8" t="s">
        <v>244</v>
      </c>
      <c r="E28" s="9" t="n">
        <v>7.5</v>
      </c>
      <c r="F28" s="8" t="n">
        <v>650</v>
      </c>
      <c r="G28" s="10" t="n">
        <v>85000</v>
      </c>
      <c r="H28" s="9" t="n">
        <v>12.5</v>
      </c>
      <c r="I28" s="9" t="n">
        <v>1.2</v>
      </c>
      <c r="J28" s="8" t="s">
        <v>245</v>
      </c>
      <c r="K28" s="18" t="n">
        <v>4000</v>
      </c>
      <c r="L28" s="18" t="n">
        <v>3000</v>
      </c>
      <c r="M28" s="9" t="n">
        <v>3.5</v>
      </c>
      <c r="N28" s="8" t="n">
        <v>9</v>
      </c>
      <c r="O28" s="9" t="n">
        <v>7</v>
      </c>
      <c r="P28" s="9" t="n">
        <f aca="false">(MIN(F$8:F$38)-F28)/(MIN(F$8:F$38)-MAX(F$8:F$38))*10</f>
        <v>9.54954954954955</v>
      </c>
      <c r="Q28" s="9" t="n">
        <f aca="false">(H28-MIN(H$8:H$38))/(MAX(H$8:H$38)-MIN(H$8:H$38))*10</f>
        <v>2.5</v>
      </c>
      <c r="R28" s="9" t="n">
        <f aca="false">(I28-MIN(I$8:I$38))/(MAX(I$8:I$38)-MIN(I$8:I$38))*10</f>
        <v>2</v>
      </c>
      <c r="S28" s="9" t="n">
        <f aca="false">(MAX(M$8:M$38)-M28)/(MAX(M$8:M$38)-MIN(M$8:M$38))*10</f>
        <v>3.33333333333333</v>
      </c>
      <c r="T28" s="9" t="n">
        <f aca="false">(MAX(N$8:N$38)-N28)/(MAX(N$8:N$38)-MIN(N$8:N$38))*10</f>
        <v>4.28571428571429</v>
      </c>
      <c r="U28" s="9" t="n">
        <f aca="false">(O28-MIN(O$8:O$38))/(MAX(O$8:O$38)-MIN(O$8:O$38))*10</f>
        <v>1.49253731343284</v>
      </c>
      <c r="V28" s="11" t="n">
        <f aca="false">P28*B$4+Q28*D$4+R28*F$4+S28*H$4+T28*J$4+U28*L$4</f>
        <v>4.3652125473021</v>
      </c>
      <c r="W28" s="8" t="n">
        <f aca="false">RANK(V28,V$8:V$38,0)</f>
        <v>9</v>
      </c>
    </row>
    <row r="29" customFormat="false" ht="15" hidden="false" customHeight="false" outlineLevel="0" collapsed="false">
      <c r="A29" s="12" t="n">
        <v>22</v>
      </c>
      <c r="B29" s="12" t="s">
        <v>246</v>
      </c>
      <c r="C29" s="13" t="s">
        <v>209</v>
      </c>
      <c r="D29" s="13" t="s">
        <v>247</v>
      </c>
      <c r="E29" s="14" t="n">
        <v>21.6</v>
      </c>
      <c r="F29" s="13" t="n">
        <v>700</v>
      </c>
      <c r="G29" s="15" t="n">
        <v>100000</v>
      </c>
      <c r="H29" s="14" t="n">
        <v>25</v>
      </c>
      <c r="I29" s="14" t="n">
        <v>4</v>
      </c>
      <c r="J29" s="13" t="s">
        <v>248</v>
      </c>
      <c r="K29" s="19" t="n">
        <v>5000</v>
      </c>
      <c r="L29" s="19" t="n">
        <v>4000</v>
      </c>
      <c r="M29" s="14" t="n">
        <v>5</v>
      </c>
      <c r="N29" s="13" t="n">
        <v>9</v>
      </c>
      <c r="O29" s="14" t="n">
        <v>12</v>
      </c>
      <c r="P29" s="14" t="n">
        <f aca="false">(MIN(F$8:F$38)-F29)/(MIN(F$8:F$38)-MAX(F$8:F$38))*10</f>
        <v>10</v>
      </c>
      <c r="Q29" s="14" t="n">
        <f aca="false">(H29-MIN(H$8:H$38))/(MAX(H$8:H$38)-MIN(H$8:H$38))*10</f>
        <v>8.75</v>
      </c>
      <c r="R29" s="14" t="n">
        <f aca="false">(I29-MIN(I$8:I$38))/(MAX(I$8:I$38)-MIN(I$8:I$38))*10</f>
        <v>10</v>
      </c>
      <c r="S29" s="14" t="n">
        <f aca="false">(MAX(M$8:M$38)-M29)/(MAX(M$8:M$38)-MIN(M$8:M$38))*10</f>
        <v>0</v>
      </c>
      <c r="T29" s="14" t="n">
        <f aca="false">(MAX(N$8:N$38)-N29)/(MAX(N$8:N$38)-MIN(N$8:N$38))*10</f>
        <v>4.28571428571429</v>
      </c>
      <c r="U29" s="14" t="n">
        <f aca="false">(O29-MIN(O$8:O$38))/(MAX(O$8:O$38)-MIN(O$8:O$38))*10</f>
        <v>5.22388059701493</v>
      </c>
      <c r="V29" s="16" t="n">
        <f aca="false">P29*B$4+Q29*D$4+R29*F$4+S29*H$4+T29*J$4+U29*L$4</f>
        <v>7.20095948827292</v>
      </c>
      <c r="W29" s="13" t="n">
        <f aca="false">RANK(V29,V$8:V$38,0)</f>
        <v>1</v>
      </c>
    </row>
    <row r="30" customFormat="false" ht="15" hidden="false" customHeight="false" outlineLevel="0" collapsed="false">
      <c r="A30" s="7" t="n">
        <v>23</v>
      </c>
      <c r="B30" s="7" t="s">
        <v>249</v>
      </c>
      <c r="C30" s="8" t="s">
        <v>177</v>
      </c>
      <c r="D30" s="8" t="s">
        <v>250</v>
      </c>
      <c r="E30" s="9" t="n">
        <v>6</v>
      </c>
      <c r="F30" s="8" t="n">
        <v>0</v>
      </c>
      <c r="G30" s="10" t="n">
        <v>72500</v>
      </c>
      <c r="H30" s="9" t="n">
        <v>7.5</v>
      </c>
      <c r="I30" s="9" t="n">
        <v>0.5</v>
      </c>
      <c r="J30" s="8" t="s">
        <v>251</v>
      </c>
      <c r="K30" s="18" t="n">
        <v>450</v>
      </c>
      <c r="L30" s="18" t="n">
        <v>450</v>
      </c>
      <c r="M30" s="9" t="n">
        <v>1</v>
      </c>
      <c r="N30" s="8" t="n">
        <v>1</v>
      </c>
      <c r="O30" s="9" t="n">
        <v>5</v>
      </c>
      <c r="P30" s="9" t="n">
        <f aca="false">(MIN(F$8:F$38)-F30)/(MIN(F$8:F$38)-MAX(F$8:F$38))*10</f>
        <v>3.69369369369369</v>
      </c>
      <c r="Q30" s="9" t="n">
        <f aca="false">(H30-MIN(H$8:H$38))/(MAX(H$8:H$38)-MIN(H$8:H$38))*10</f>
        <v>0</v>
      </c>
      <c r="R30" s="9" t="n">
        <f aca="false">(I30-MIN(I$8:I$38))/(MAX(I$8:I$38)-MIN(I$8:I$38))*10</f>
        <v>0</v>
      </c>
      <c r="S30" s="9" t="n">
        <f aca="false">(MAX(M$8:M$38)-M30)/(MAX(M$8:M$38)-MIN(M$8:M$38))*10</f>
        <v>8.88888888888889</v>
      </c>
      <c r="T30" s="9" t="n">
        <f aca="false">(MAX(N$8:N$38)-N30)/(MAX(N$8:N$38)-MIN(N$8:N$38))*10</f>
        <v>10</v>
      </c>
      <c r="U30" s="9" t="n">
        <f aca="false">(O30-MIN(O$8:O$38))/(MAX(O$8:O$38)-MIN(O$8:O$38))*10</f>
        <v>0</v>
      </c>
      <c r="V30" s="11" t="n">
        <f aca="false">P30*B$4+Q30*D$4+R30*F$4+S30*H$4+T30*J$4+U30*L$4</f>
        <v>3.25675675675676</v>
      </c>
      <c r="W30" s="8" t="n">
        <f aca="false">RANK(V30,V$8:V$38,0)</f>
        <v>28</v>
      </c>
    </row>
    <row r="31" customFormat="false" ht="15" hidden="false" customHeight="false" outlineLevel="0" collapsed="false">
      <c r="A31" s="12" t="n">
        <v>24</v>
      </c>
      <c r="B31" s="12" t="s">
        <v>252</v>
      </c>
      <c r="C31" s="13" t="s">
        <v>177</v>
      </c>
      <c r="D31" s="13" t="s">
        <v>253</v>
      </c>
      <c r="E31" s="14" t="n">
        <v>11.5</v>
      </c>
      <c r="F31" s="13" t="n">
        <v>-50</v>
      </c>
      <c r="G31" s="15" t="n">
        <v>65000</v>
      </c>
      <c r="H31" s="14" t="n">
        <v>20</v>
      </c>
      <c r="I31" s="14" t="n">
        <v>1.6</v>
      </c>
      <c r="J31" s="13" t="s">
        <v>254</v>
      </c>
      <c r="K31" s="19" t="n">
        <v>2000</v>
      </c>
      <c r="L31" s="19" t="n">
        <v>1000</v>
      </c>
      <c r="M31" s="14" t="n">
        <v>2.5</v>
      </c>
      <c r="N31" s="13" t="n">
        <v>1</v>
      </c>
      <c r="O31" s="14" t="n">
        <v>10</v>
      </c>
      <c r="P31" s="14" t="n">
        <f aca="false">(MIN(F$8:F$38)-F31)/(MIN(F$8:F$38)-MAX(F$8:F$38))*10</f>
        <v>3.24324324324324</v>
      </c>
      <c r="Q31" s="14" t="n">
        <f aca="false">(H31-MIN(H$8:H$38))/(MAX(H$8:H$38)-MIN(H$8:H$38))*10</f>
        <v>6.25</v>
      </c>
      <c r="R31" s="14" t="n">
        <f aca="false">(I31-MIN(I$8:I$38))/(MAX(I$8:I$38)-MIN(I$8:I$38))*10</f>
        <v>3.14285714285714</v>
      </c>
      <c r="S31" s="14" t="n">
        <f aca="false">(MAX(M$8:M$38)-M31)/(MAX(M$8:M$38)-MIN(M$8:M$38))*10</f>
        <v>5.55555555555556</v>
      </c>
      <c r="T31" s="14" t="n">
        <f aca="false">(MAX(N$8:N$38)-N31)/(MAX(N$8:N$38)-MIN(N$8:N$38))*10</f>
        <v>10</v>
      </c>
      <c r="U31" s="14" t="n">
        <f aca="false">(O31-MIN(O$8:O$38))/(MAX(O$8:O$38)-MIN(O$8:O$38))*10</f>
        <v>3.73134328358209</v>
      </c>
      <c r="V31" s="16" t="n">
        <f aca="false">P31*B$4+Q31*D$4+R31*F$4+S31*H$4+T31*J$4+U31*L$4</f>
        <v>4.89584990107378</v>
      </c>
      <c r="W31" s="13" t="n">
        <f aca="false">RANK(V31,V$8:V$38,0)</f>
        <v>6</v>
      </c>
    </row>
    <row r="32" customFormat="false" ht="15" hidden="false" customHeight="false" outlineLevel="0" collapsed="false">
      <c r="A32" s="7" t="n">
        <v>25</v>
      </c>
      <c r="B32" s="7" t="s">
        <v>255</v>
      </c>
      <c r="C32" s="8" t="s">
        <v>177</v>
      </c>
      <c r="D32" s="8" t="s">
        <v>256</v>
      </c>
      <c r="E32" s="9" t="n">
        <v>8</v>
      </c>
      <c r="F32" s="8" t="n">
        <v>-20</v>
      </c>
      <c r="G32" s="10" t="n">
        <v>57500</v>
      </c>
      <c r="H32" s="9" t="n">
        <v>12.5</v>
      </c>
      <c r="I32" s="9" t="n">
        <v>1</v>
      </c>
      <c r="J32" s="8" t="s">
        <v>257</v>
      </c>
      <c r="K32" s="18" t="n">
        <v>1000</v>
      </c>
      <c r="L32" s="18" t="n">
        <v>500</v>
      </c>
      <c r="M32" s="9" t="n">
        <v>1.5</v>
      </c>
      <c r="N32" s="8" t="n">
        <v>1</v>
      </c>
      <c r="O32" s="9" t="n">
        <v>7</v>
      </c>
      <c r="P32" s="9" t="n">
        <f aca="false">(MIN(F$8:F$38)-F32)/(MIN(F$8:F$38)-MAX(F$8:F$38))*10</f>
        <v>3.51351351351351</v>
      </c>
      <c r="Q32" s="9" t="n">
        <f aca="false">(H32-MIN(H$8:H$38))/(MAX(H$8:H$38)-MIN(H$8:H$38))*10</f>
        <v>2.5</v>
      </c>
      <c r="R32" s="9" t="n">
        <f aca="false">(I32-MIN(I$8:I$38))/(MAX(I$8:I$38)-MIN(I$8:I$38))*10</f>
        <v>1.42857142857143</v>
      </c>
      <c r="S32" s="9" t="n">
        <f aca="false">(MAX(M$8:M$38)-M32)/(MAX(M$8:M$38)-MIN(M$8:M$38))*10</f>
        <v>7.77777777777778</v>
      </c>
      <c r="T32" s="9" t="n">
        <f aca="false">(MAX(N$8:N$38)-N32)/(MAX(N$8:N$38)-MIN(N$8:N$38))*10</f>
        <v>10</v>
      </c>
      <c r="U32" s="9" t="n">
        <f aca="false">(O32-MIN(O$8:O$38))/(MAX(O$8:O$38)-MIN(O$8:O$38))*10</f>
        <v>1.49253731343284</v>
      </c>
      <c r="V32" s="11" t="n">
        <f aca="false">P32*B$4+Q32*D$4+R32*F$4+S32*H$4+T32*J$4+U32*L$4</f>
        <v>3.98001306210261</v>
      </c>
      <c r="W32" s="8" t="n">
        <f aca="false">RANK(V32,V$8:V$38,0)</f>
        <v>16</v>
      </c>
    </row>
    <row r="33" customFormat="false" ht="15" hidden="false" customHeight="false" outlineLevel="0" collapsed="false">
      <c r="A33" s="12" t="n">
        <v>26</v>
      </c>
      <c r="B33" s="12" t="s">
        <v>258</v>
      </c>
      <c r="C33" s="13" t="s">
        <v>177</v>
      </c>
      <c r="D33" s="13" t="s">
        <v>259</v>
      </c>
      <c r="E33" s="14" t="n">
        <v>10</v>
      </c>
      <c r="F33" s="13" t="n">
        <v>-50</v>
      </c>
      <c r="G33" s="15" t="n">
        <v>90000</v>
      </c>
      <c r="H33" s="14" t="n">
        <v>25</v>
      </c>
      <c r="I33" s="14" t="n">
        <v>0.5</v>
      </c>
      <c r="J33" s="13" t="s">
        <v>260</v>
      </c>
      <c r="K33" s="19" t="n">
        <v>500</v>
      </c>
      <c r="L33" s="19" t="n">
        <v>300</v>
      </c>
      <c r="M33" s="14" t="n">
        <v>1</v>
      </c>
      <c r="N33" s="13" t="n">
        <v>1</v>
      </c>
      <c r="O33" s="14" t="n">
        <v>12</v>
      </c>
      <c r="P33" s="14" t="n">
        <f aca="false">(MIN(F$8:F$38)-F33)/(MIN(F$8:F$38)-MAX(F$8:F$38))*10</f>
        <v>3.24324324324324</v>
      </c>
      <c r="Q33" s="14" t="n">
        <f aca="false">(H33-MIN(H$8:H$38))/(MAX(H$8:H$38)-MIN(H$8:H$38))*10</f>
        <v>8.75</v>
      </c>
      <c r="R33" s="14" t="n">
        <f aca="false">(I33-MIN(I$8:I$38))/(MAX(I$8:I$38)-MIN(I$8:I$38))*10</f>
        <v>0</v>
      </c>
      <c r="S33" s="14" t="n">
        <f aca="false">(MAX(M$8:M$38)-M33)/(MAX(M$8:M$38)-MIN(M$8:M$38))*10</f>
        <v>8.88888888888889</v>
      </c>
      <c r="T33" s="14" t="n">
        <f aca="false">(MAX(N$8:N$38)-N33)/(MAX(N$8:N$38)-MIN(N$8:N$38))*10</f>
        <v>10</v>
      </c>
      <c r="U33" s="14" t="n">
        <f aca="false">(O33-MIN(O$8:O$38))/(MAX(O$8:O$38)-MIN(O$8:O$38))*10</f>
        <v>5.22388059701493</v>
      </c>
      <c r="V33" s="16" t="n">
        <f aca="false">P33*B$4+Q33*D$4+R33*F$4+S33*H$4+T33*J$4+U33*L$4</f>
        <v>5.41653220384564</v>
      </c>
      <c r="W33" s="13" t="n">
        <f aca="false">RANK(V33,V$8:V$38,0)</f>
        <v>4</v>
      </c>
    </row>
    <row r="34" customFormat="false" ht="15" hidden="false" customHeight="false" outlineLevel="0" collapsed="false">
      <c r="A34" s="7" t="n">
        <v>27</v>
      </c>
      <c r="B34" s="7" t="s">
        <v>261</v>
      </c>
      <c r="C34" s="8" t="s">
        <v>262</v>
      </c>
      <c r="D34" s="8" t="s">
        <v>263</v>
      </c>
      <c r="E34" s="9" t="n">
        <v>10</v>
      </c>
      <c r="F34" s="8" t="n">
        <v>-20</v>
      </c>
      <c r="G34" s="10" t="n">
        <v>80000</v>
      </c>
      <c r="H34" s="9" t="n">
        <v>12.5</v>
      </c>
      <c r="I34" s="9" t="n">
        <v>1.5</v>
      </c>
      <c r="J34" s="8" t="s">
        <v>264</v>
      </c>
      <c r="K34" s="18" t="n">
        <v>3000</v>
      </c>
      <c r="L34" s="18" t="n">
        <v>1536</v>
      </c>
      <c r="M34" s="9" t="n">
        <v>1.4</v>
      </c>
      <c r="N34" s="8" t="n">
        <v>3</v>
      </c>
      <c r="O34" s="9" t="n">
        <v>8</v>
      </c>
      <c r="P34" s="9" t="n">
        <f aca="false">(MIN(F$8:F$38)-F34)/(MIN(F$8:F$38)-MAX(F$8:F$38))*10</f>
        <v>3.51351351351351</v>
      </c>
      <c r="Q34" s="9" t="n">
        <f aca="false">(H34-MIN(H$8:H$38))/(MAX(H$8:H$38)-MIN(H$8:H$38))*10</f>
        <v>2.5</v>
      </c>
      <c r="R34" s="9" t="n">
        <f aca="false">(I34-MIN(I$8:I$38))/(MAX(I$8:I$38)-MIN(I$8:I$38))*10</f>
        <v>2.85714285714286</v>
      </c>
      <c r="S34" s="9" t="n">
        <f aca="false">(MAX(M$8:M$38)-M34)/(MAX(M$8:M$38)-MIN(M$8:M$38))*10</f>
        <v>8</v>
      </c>
      <c r="T34" s="9" t="n">
        <f aca="false">(MAX(N$8:N$38)-N34)/(MAX(N$8:N$38)-MIN(N$8:N$38))*10</f>
        <v>8.57142857142857</v>
      </c>
      <c r="U34" s="9" t="n">
        <f aca="false">(O34-MIN(O$8:O$38))/(MAX(O$8:O$38)-MIN(O$8:O$38))*10</f>
        <v>2.23880597014925</v>
      </c>
      <c r="V34" s="11" t="n">
        <f aca="false">P34*B$4+Q34*D$4+R34*F$4+S34*H$4+T34*J$4+U34*L$4</f>
        <v>4.23083040396473</v>
      </c>
      <c r="W34" s="8" t="n">
        <f aca="false">RANK(V34,V$8:V$38,0)</f>
        <v>12</v>
      </c>
    </row>
    <row r="35" customFormat="false" ht="15" hidden="false" customHeight="false" outlineLevel="0" collapsed="false">
      <c r="A35" s="12" t="n">
        <v>28</v>
      </c>
      <c r="B35" s="12" t="s">
        <v>265</v>
      </c>
      <c r="C35" s="13" t="s">
        <v>266</v>
      </c>
      <c r="D35" s="13" t="s">
        <v>267</v>
      </c>
      <c r="E35" s="14" t="n">
        <v>9.7</v>
      </c>
      <c r="F35" s="13" t="n">
        <v>0</v>
      </c>
      <c r="G35" s="15" t="n">
        <v>75000</v>
      </c>
      <c r="H35" s="14" t="n">
        <v>7.5</v>
      </c>
      <c r="I35" s="14" t="n">
        <v>1.3</v>
      </c>
      <c r="J35" s="13" t="s">
        <v>268</v>
      </c>
      <c r="K35" s="19" t="n">
        <v>0</v>
      </c>
      <c r="L35" s="19" t="n">
        <v>365</v>
      </c>
      <c r="M35" s="14" t="n">
        <v>0.5</v>
      </c>
      <c r="N35" s="13" t="n">
        <v>14</v>
      </c>
      <c r="O35" s="14" t="n">
        <v>6</v>
      </c>
      <c r="P35" s="14" t="n">
        <f aca="false">(MIN(F$8:F$38)-F35)/(MIN(F$8:F$38)-MAX(F$8:F$38))*10</f>
        <v>3.69369369369369</v>
      </c>
      <c r="Q35" s="14" t="n">
        <f aca="false">(H35-MIN(H$8:H$38))/(MAX(H$8:H$38)-MIN(H$8:H$38))*10</f>
        <v>0</v>
      </c>
      <c r="R35" s="14" t="n">
        <f aca="false">(I35-MIN(I$8:I$38))/(MAX(I$8:I$38)-MIN(I$8:I$38))*10</f>
        <v>2.28571428571429</v>
      </c>
      <c r="S35" s="14" t="n">
        <f aca="false">(MAX(M$8:M$38)-M35)/(MAX(M$8:M$38)-MIN(M$8:M$38))*10</f>
        <v>10</v>
      </c>
      <c r="T35" s="14" t="n">
        <f aca="false">(MAX(N$8:N$38)-N35)/(MAX(N$8:N$38)-MIN(N$8:N$38))*10</f>
        <v>0.714285714285714</v>
      </c>
      <c r="U35" s="14" t="n">
        <f aca="false">(O35-MIN(O$8:O$38))/(MAX(O$8:O$38)-MIN(O$8:O$38))*10</f>
        <v>0.746268656716418</v>
      </c>
      <c r="V35" s="16" t="n">
        <f aca="false">P35*B$4+Q35*D$4+R35*F$4+S35*H$4+T35*J$4+U35*L$4</f>
        <v>3.02662171766649</v>
      </c>
      <c r="W35" s="13" t="n">
        <f aca="false">RANK(V35,V$8:V$38,0)</f>
        <v>30</v>
      </c>
    </row>
    <row r="36" customFormat="false" ht="15" hidden="false" customHeight="false" outlineLevel="0" collapsed="false">
      <c r="A36" s="7" t="n">
        <v>29</v>
      </c>
      <c r="B36" s="7" t="s">
        <v>269</v>
      </c>
      <c r="C36" s="8" t="s">
        <v>67</v>
      </c>
      <c r="D36" s="8" t="s">
        <v>270</v>
      </c>
      <c r="E36" s="9" t="n">
        <v>14.1</v>
      </c>
      <c r="F36" s="8" t="n">
        <v>-410</v>
      </c>
      <c r="G36" s="10" t="n">
        <v>75000</v>
      </c>
      <c r="H36" s="9" t="n">
        <v>20</v>
      </c>
      <c r="I36" s="9" t="n">
        <v>1</v>
      </c>
      <c r="J36" s="8" t="s">
        <v>271</v>
      </c>
      <c r="K36" s="18" t="n">
        <v>5000</v>
      </c>
      <c r="L36" s="18" t="n">
        <v>2000</v>
      </c>
      <c r="M36" s="9" t="n">
        <v>2.5</v>
      </c>
      <c r="N36" s="8" t="n">
        <v>6</v>
      </c>
      <c r="O36" s="9" t="n">
        <v>12</v>
      </c>
      <c r="P36" s="9" t="n">
        <f aca="false">(MIN(F$8:F$38)-F36)/(MIN(F$8:F$38)-MAX(F$8:F$38))*10</f>
        <v>-0</v>
      </c>
      <c r="Q36" s="9" t="n">
        <f aca="false">(H36-MIN(H$8:H$38))/(MAX(H$8:H$38)-MIN(H$8:H$38))*10</f>
        <v>6.25</v>
      </c>
      <c r="R36" s="9" t="n">
        <f aca="false">(I36-MIN(I$8:I$38))/(MAX(I$8:I$38)-MIN(I$8:I$38))*10</f>
        <v>1.42857142857143</v>
      </c>
      <c r="S36" s="9" t="n">
        <f aca="false">(MAX(M$8:M$38)-M36)/(MAX(M$8:M$38)-MIN(M$8:M$38))*10</f>
        <v>5.55555555555556</v>
      </c>
      <c r="T36" s="9" t="n">
        <f aca="false">(MAX(N$8:N$38)-N36)/(MAX(N$8:N$38)-MIN(N$8:N$38))*10</f>
        <v>6.42857142857143</v>
      </c>
      <c r="U36" s="9" t="n">
        <f aca="false">(O36-MIN(O$8:O$38))/(MAX(O$8:O$38)-MIN(O$8:O$38))*10</f>
        <v>5.22388059701493</v>
      </c>
      <c r="V36" s="11" t="n">
        <f aca="false">P36*B$4+Q36*D$4+R36*F$4+S36*H$4+T36*J$4+U36*L$4</f>
        <v>3.53429282160625</v>
      </c>
      <c r="W36" s="8" t="n">
        <f aca="false">RANK(V36,V$8:V$38,0)</f>
        <v>20</v>
      </c>
    </row>
    <row r="37" customFormat="false" ht="15" hidden="false" customHeight="false" outlineLevel="0" collapsed="false">
      <c r="A37" s="12" t="n">
        <v>30</v>
      </c>
      <c r="B37" s="12" t="s">
        <v>272</v>
      </c>
      <c r="C37" s="13" t="s">
        <v>205</v>
      </c>
      <c r="D37" s="13" t="s">
        <v>273</v>
      </c>
      <c r="E37" s="14" t="n">
        <v>13</v>
      </c>
      <c r="F37" s="13" t="n">
        <v>300</v>
      </c>
      <c r="G37" s="15" t="n">
        <v>85000</v>
      </c>
      <c r="H37" s="14" t="n">
        <v>17.5</v>
      </c>
      <c r="I37" s="14" t="n">
        <v>1.5</v>
      </c>
      <c r="J37" s="13" t="s">
        <v>274</v>
      </c>
      <c r="K37" s="19" t="n">
        <v>2500</v>
      </c>
      <c r="L37" s="19" t="n">
        <v>520</v>
      </c>
      <c r="M37" s="14" t="n">
        <v>1.5</v>
      </c>
      <c r="N37" s="13" t="n">
        <v>12</v>
      </c>
      <c r="O37" s="14" t="n">
        <v>10</v>
      </c>
      <c r="P37" s="14" t="n">
        <f aca="false">(MIN(F$8:F$38)-F37)/(MIN(F$8:F$38)-MAX(F$8:F$38))*10</f>
        <v>6.3963963963964</v>
      </c>
      <c r="Q37" s="14" t="n">
        <f aca="false">(H37-MIN(H$8:H$38))/(MAX(H$8:H$38)-MIN(H$8:H$38))*10</f>
        <v>5</v>
      </c>
      <c r="R37" s="14" t="n">
        <f aca="false">(I37-MIN(I$8:I$38))/(MAX(I$8:I$38)-MIN(I$8:I$38))*10</f>
        <v>2.85714285714286</v>
      </c>
      <c r="S37" s="14" t="n">
        <f aca="false">(MAX(M$8:M$38)-M37)/(MAX(M$8:M$38)-MIN(M$8:M$38))*10</f>
        <v>7.77777777777778</v>
      </c>
      <c r="T37" s="14" t="n">
        <f aca="false">(MAX(N$8:N$38)-N37)/(MAX(N$8:N$38)-MIN(N$8:N$38))*10</f>
        <v>2.14285714285714</v>
      </c>
      <c r="U37" s="14" t="n">
        <f aca="false">(O37-MIN(O$8:O$38))/(MAX(O$8:O$38)-MIN(O$8:O$38))*10</f>
        <v>3.73134328358209</v>
      </c>
      <c r="V37" s="16" t="n">
        <f aca="false">P37*B$4+Q37*D$4+R37*F$4+S37*H$4+T37*J$4+U37*L$4</f>
        <v>4.92461437983826</v>
      </c>
      <c r="W37" s="13" t="n">
        <f aca="false">RANK(V37,V$8:V$38,0)</f>
        <v>5</v>
      </c>
    </row>
    <row r="38" customFormat="false" ht="15" hidden="false" customHeight="false" outlineLevel="0" collapsed="false">
      <c r="A38" s="7" t="n">
        <v>31</v>
      </c>
      <c r="B38" s="7" t="s">
        <v>275</v>
      </c>
      <c r="C38" s="8" t="s">
        <v>205</v>
      </c>
      <c r="D38" s="8" t="s">
        <v>276</v>
      </c>
      <c r="E38" s="9" t="n">
        <v>8</v>
      </c>
      <c r="F38" s="8" t="n">
        <v>-20</v>
      </c>
      <c r="G38" s="10" t="n">
        <v>70000</v>
      </c>
      <c r="H38" s="9" t="n">
        <v>12.5</v>
      </c>
      <c r="I38" s="9" t="n">
        <v>1.8</v>
      </c>
      <c r="J38" s="8" t="s">
        <v>277</v>
      </c>
      <c r="K38" s="18" t="n">
        <v>1500</v>
      </c>
      <c r="L38" s="18" t="n">
        <v>1000</v>
      </c>
      <c r="M38" s="9" t="n">
        <v>2</v>
      </c>
      <c r="N38" s="8" t="n">
        <v>12</v>
      </c>
      <c r="O38" s="9" t="n">
        <v>5</v>
      </c>
      <c r="P38" s="9" t="n">
        <f aca="false">(MIN(F$8:F$38)-F38)/(MIN(F$8:F$38)-MAX(F$8:F$38))*10</f>
        <v>3.51351351351351</v>
      </c>
      <c r="Q38" s="9" t="n">
        <f aca="false">(H38-MIN(H$8:H$38))/(MAX(H$8:H$38)-MIN(H$8:H$38))*10</f>
        <v>2.5</v>
      </c>
      <c r="R38" s="9" t="n">
        <f aca="false">(I38-MIN(I$8:I$38))/(MAX(I$8:I$38)-MIN(I$8:I$38))*10</f>
        <v>3.71428571428571</v>
      </c>
      <c r="S38" s="9" t="n">
        <f aca="false">(MAX(M$8:M$38)-M38)/(MAX(M$8:M$38)-MIN(M$8:M$38))*10</f>
        <v>6.66666666666667</v>
      </c>
      <c r="T38" s="9" t="n">
        <f aca="false">(MAX(N$8:N$38)-N38)/(MAX(N$8:N$38)-MIN(N$8:N$38))*10</f>
        <v>2.14285714285714</v>
      </c>
      <c r="U38" s="9" t="n">
        <f aca="false">(O38-MIN(O$8:O$38))/(MAX(O$8:O$38)-MIN(O$8:O$38))*10</f>
        <v>0</v>
      </c>
      <c r="V38" s="11" t="n">
        <f aca="false">P38*B$4+Q38*D$4+R38*F$4+S38*H$4+T38*J$4+U38*L$4</f>
        <v>3.33552123552124</v>
      </c>
      <c r="W38" s="8" t="n">
        <f aca="false">RANK(V38,V$8:V$38,0)</f>
        <v>26</v>
      </c>
    </row>
  </sheetData>
  <autoFilter ref="A7:W38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ED93"/>
    <pageSetUpPr fitToPage="false"/>
  </sheetPr>
  <dimension ref="A1:V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0" min="10" style="0" width="12"/>
    <col collapsed="false" customWidth="true" hidden="false" outlineLevel="0" max="13" min="11" style="0" width="10"/>
    <col collapsed="false" customWidth="true" hidden="false" outlineLevel="0" max="14" min="14" style="0" width="14"/>
    <col collapsed="false" customWidth="true" hidden="false" outlineLevel="0" max="20" min="15" style="0" width="8"/>
    <col collapsed="false" customWidth="true" hidden="false" outlineLevel="0" max="21" min="21" style="0" width="10"/>
    <col collapsed="false" customWidth="true" hidden="false" outlineLevel="0" max="22" min="22" style="0" width="6"/>
  </cols>
  <sheetData>
    <row r="1" customFormat="false" ht="17.35" hidden="false" customHeight="false" outlineLevel="0" collapsed="false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17" t="s">
        <v>1</v>
      </c>
    </row>
    <row r="4" customFormat="false" ht="15" hidden="false" customHeight="false" outlineLevel="0" collapsed="false">
      <c r="A4" s="3" t="s">
        <v>279</v>
      </c>
      <c r="B4" s="4" t="n">
        <v>0.25</v>
      </c>
      <c r="C4" s="3" t="s">
        <v>280</v>
      </c>
      <c r="D4" s="4" t="n">
        <v>0.2</v>
      </c>
      <c r="E4" s="3" t="s">
        <v>281</v>
      </c>
      <c r="F4" s="4" t="n">
        <v>0.15</v>
      </c>
      <c r="G4" s="3" t="s">
        <v>4</v>
      </c>
      <c r="H4" s="4" t="n">
        <v>0.15</v>
      </c>
      <c r="I4" s="3" t="s">
        <v>5</v>
      </c>
      <c r="J4" s="4" t="n">
        <v>0.15</v>
      </c>
      <c r="K4" s="3" t="s">
        <v>282</v>
      </c>
      <c r="L4" s="4" t="n">
        <v>0.1</v>
      </c>
    </row>
    <row r="5" customFormat="false" ht="15" hidden="false" customHeight="false" outlineLevel="0" collapsed="false">
      <c r="A5" s="3" t="s">
        <v>8</v>
      </c>
      <c r="B5" s="5" t="n">
        <f aca="false">B4+D4+F4+H4+J4+L4</f>
        <v>1</v>
      </c>
    </row>
    <row r="6" customFormat="false" ht="15" hidden="false" customHeight="false" outlineLevel="0" collapsed="false">
      <c r="A6" s="20" t="s">
        <v>283</v>
      </c>
      <c r="B6" s="21" t="s">
        <v>284</v>
      </c>
      <c r="C6" s="21"/>
      <c r="D6" s="21"/>
      <c r="E6" s="21"/>
      <c r="F6" s="21"/>
      <c r="G6" s="21"/>
      <c r="H6" s="21"/>
    </row>
    <row r="8" customFormat="false" ht="52.2" hidden="false" customHeight="false" outlineLevel="0" collapsed="false">
      <c r="A8" s="6" t="s">
        <v>9</v>
      </c>
      <c r="B8" s="6" t="s">
        <v>10</v>
      </c>
      <c r="C8" s="6" t="s">
        <v>11</v>
      </c>
      <c r="D8" s="6" t="s">
        <v>12</v>
      </c>
      <c r="E8" s="6" t="s">
        <v>285</v>
      </c>
      <c r="F8" s="6" t="s">
        <v>286</v>
      </c>
      <c r="G8" s="6" t="s">
        <v>20</v>
      </c>
      <c r="H8" s="6" t="s">
        <v>15</v>
      </c>
      <c r="I8" s="6" t="s">
        <v>16</v>
      </c>
      <c r="J8" s="6" t="s">
        <v>18</v>
      </c>
      <c r="K8" s="6" t="s">
        <v>13</v>
      </c>
      <c r="L8" s="6" t="s">
        <v>287</v>
      </c>
      <c r="M8" s="6" t="s">
        <v>288</v>
      </c>
      <c r="N8" s="6" t="s">
        <v>289</v>
      </c>
      <c r="O8" s="6" t="s">
        <v>290</v>
      </c>
      <c r="P8" s="6" t="s">
        <v>291</v>
      </c>
      <c r="Q8" s="6" t="s">
        <v>292</v>
      </c>
      <c r="R8" s="6" t="s">
        <v>25</v>
      </c>
      <c r="S8" s="6" t="s">
        <v>26</v>
      </c>
      <c r="T8" s="6" t="s">
        <v>293</v>
      </c>
      <c r="U8" s="6" t="s">
        <v>29</v>
      </c>
      <c r="V8" s="6" t="s">
        <v>30</v>
      </c>
    </row>
    <row r="9" customFormat="false" ht="15" hidden="false" customHeight="false" outlineLevel="0" collapsed="false">
      <c r="A9" s="7" t="n">
        <v>1</v>
      </c>
      <c r="B9" s="7" t="s">
        <v>294</v>
      </c>
      <c r="C9" s="8" t="s">
        <v>262</v>
      </c>
      <c r="D9" s="8" t="s">
        <v>295</v>
      </c>
      <c r="E9" s="10" t="n">
        <v>625</v>
      </c>
      <c r="F9" s="11" t="n">
        <v>0.94</v>
      </c>
      <c r="G9" s="9" t="n">
        <v>5.7</v>
      </c>
      <c r="H9" s="9" t="n">
        <v>3.1</v>
      </c>
      <c r="I9" s="9" t="n">
        <v>1.6</v>
      </c>
      <c r="J9" s="10" t="n">
        <v>91000</v>
      </c>
      <c r="K9" s="9" t="n">
        <v>92.2</v>
      </c>
      <c r="L9" s="8" t="n">
        <v>3</v>
      </c>
      <c r="M9" s="9" t="n">
        <v>4.75</v>
      </c>
      <c r="N9" s="10" t="n">
        <v>750</v>
      </c>
      <c r="O9" s="9" t="n">
        <f aca="false">(MAX(E$9:E$38)-E9)/(MAX(E$9:E$38)-MIN(E$9:E$38))*10</f>
        <v>4</v>
      </c>
      <c r="P9" s="9" t="n">
        <f aca="false">(MAX(F$9:F$38)-F9)/(MAX(F$9:F$38)-MIN(F$9:F$38))*10</f>
        <v>4.04255319148936</v>
      </c>
      <c r="Q9" s="9" t="n">
        <f aca="false">(G9-MIN(G$9:G$38))/(MAX(G$9:G$38)-MIN(G$9:G$38))*10</f>
        <v>2.5</v>
      </c>
      <c r="R9" s="9" t="n">
        <f aca="false">(H9-MIN(H$9:H$38))/(MAX(H$9:H$38)-MIN(H$9:H$38))*10</f>
        <v>4.42105263157895</v>
      </c>
      <c r="S9" s="9" t="n">
        <f aca="false">(I9-MIN(I$9:I$38))/(MAX(I$9:I$38)-MIN(I$9:I$38))*10</f>
        <v>4.33333333333333</v>
      </c>
      <c r="T9" s="9" t="n">
        <f aca="false">(MAX(L$9:L$38)-L9)/(MAX(L$9:L$38)-MIN(L$9:L$38))*10</f>
        <v>3.33333333333333</v>
      </c>
      <c r="U9" s="11" t="n">
        <f aca="false">O9*B$4+P9*D$4+Q9*F$4+R9*H$4+S9*J$4+T9*L$4</f>
        <v>3.83000186636805</v>
      </c>
      <c r="V9" s="8" t="n">
        <f aca="false">RANK(U9,U$9:U$38,0)</f>
        <v>29</v>
      </c>
    </row>
    <row r="10" customFormat="false" ht="15" hidden="false" customHeight="false" outlineLevel="0" collapsed="false">
      <c r="A10" s="12" t="n">
        <v>2</v>
      </c>
      <c r="B10" s="12" t="s">
        <v>261</v>
      </c>
      <c r="C10" s="13" t="s">
        <v>262</v>
      </c>
      <c r="D10" s="13" t="s">
        <v>296</v>
      </c>
      <c r="E10" s="15" t="n">
        <v>625</v>
      </c>
      <c r="F10" s="16" t="n">
        <v>0.95</v>
      </c>
      <c r="G10" s="14" t="n">
        <v>5.9</v>
      </c>
      <c r="H10" s="14" t="n">
        <v>3.1</v>
      </c>
      <c r="I10" s="14" t="n">
        <v>1.5</v>
      </c>
      <c r="J10" s="15" t="n">
        <v>97500</v>
      </c>
      <c r="K10" s="14" t="n">
        <v>90</v>
      </c>
      <c r="L10" s="13" t="n">
        <v>3</v>
      </c>
      <c r="M10" s="14" t="n">
        <v>4.75</v>
      </c>
      <c r="N10" s="15" t="n">
        <v>725</v>
      </c>
      <c r="O10" s="14" t="n">
        <f aca="false">(MAX(E$9:E$38)-E10)/(MAX(E$9:E$38)-MIN(E$9:E$38))*10</f>
        <v>4</v>
      </c>
      <c r="P10" s="14" t="n">
        <f aca="false">(MAX(F$9:F$38)-F10)/(MAX(F$9:F$38)-MIN(F$9:F$38))*10</f>
        <v>3.93617021276596</v>
      </c>
      <c r="Q10" s="14" t="n">
        <f aca="false">(G10-MIN(G$9:G$38))/(MAX(G$9:G$38)-MIN(G$9:G$38))*10</f>
        <v>3.21428571428572</v>
      </c>
      <c r="R10" s="14" t="n">
        <f aca="false">(H10-MIN(H$9:H$38))/(MAX(H$9:H$38)-MIN(H$9:H$38))*10</f>
        <v>4.42105263157895</v>
      </c>
      <c r="S10" s="14" t="n">
        <f aca="false">(I10-MIN(I$9:I$38))/(MAX(I$9:I$38)-MIN(I$9:I$38))*10</f>
        <v>4</v>
      </c>
      <c r="T10" s="14" t="n">
        <f aca="false">(MAX(L$9:L$38)-L10)/(MAX(L$9:L$38)-MIN(L$9:L$38))*10</f>
        <v>3.33333333333333</v>
      </c>
      <c r="U10" s="16" t="n">
        <f aca="false">O10*B$4+P10*D$4+Q10*F$4+R10*H$4+S10*J$4+T10*L$4</f>
        <v>3.86586812776622</v>
      </c>
      <c r="V10" s="13" t="n">
        <f aca="false">RANK(U10,U$9:U$38,0)</f>
        <v>28</v>
      </c>
    </row>
    <row r="11" customFormat="false" ht="15" hidden="false" customHeight="false" outlineLevel="0" collapsed="false">
      <c r="A11" s="7" t="n">
        <v>3</v>
      </c>
      <c r="B11" s="7" t="s">
        <v>297</v>
      </c>
      <c r="C11" s="8" t="s">
        <v>266</v>
      </c>
      <c r="D11" s="8" t="s">
        <v>298</v>
      </c>
      <c r="E11" s="10" t="n">
        <v>525</v>
      </c>
      <c r="F11" s="11" t="n">
        <v>0.59</v>
      </c>
      <c r="G11" s="9" t="n">
        <v>6</v>
      </c>
      <c r="H11" s="9" t="n">
        <v>2.5</v>
      </c>
      <c r="I11" s="9" t="n">
        <v>2.3</v>
      </c>
      <c r="J11" s="10" t="n">
        <v>115000</v>
      </c>
      <c r="K11" s="9" t="n">
        <v>94.2</v>
      </c>
      <c r="L11" s="8" t="n">
        <v>2</v>
      </c>
      <c r="M11" s="9" t="n">
        <v>3.9</v>
      </c>
      <c r="N11" s="10" t="n">
        <v>1400</v>
      </c>
      <c r="O11" s="9" t="n">
        <f aca="false">(MAX(E$9:E$38)-E11)/(MAX(E$9:E$38)-MIN(E$9:E$38))*10</f>
        <v>6.66666666666667</v>
      </c>
      <c r="P11" s="9" t="n">
        <f aca="false">(MAX(F$9:F$38)-F11)/(MAX(F$9:F$38)-MIN(F$9:F$38))*10</f>
        <v>7.76595744680851</v>
      </c>
      <c r="Q11" s="9" t="n">
        <f aca="false">(G11-MIN(G$9:G$38))/(MAX(G$9:G$38)-MIN(G$9:G$38))*10</f>
        <v>3.57142857142857</v>
      </c>
      <c r="R11" s="9" t="n">
        <f aca="false">(H11-MIN(H$9:H$38))/(MAX(H$9:H$38)-MIN(H$9:H$38))*10</f>
        <v>3.78947368421053</v>
      </c>
      <c r="S11" s="9" t="n">
        <f aca="false">(I11-MIN(I$9:I$38))/(MAX(I$9:I$38)-MIN(I$9:I$38))*10</f>
        <v>6.66666666666667</v>
      </c>
      <c r="T11" s="9" t="n">
        <f aca="false">(MAX(L$9:L$38)-L11)/(MAX(L$9:L$38)-MIN(L$9:L$38))*10</f>
        <v>6.66666666666667</v>
      </c>
      <c r="U11" s="11" t="n">
        <f aca="false">O11*B$4+P11*D$4+Q11*F$4+R11*H$4+S11*J$4+T11*L$4</f>
        <v>5.9906601610409</v>
      </c>
      <c r="V11" s="8" t="n">
        <f aca="false">RANK(U11,U$9:U$38,0)</f>
        <v>14</v>
      </c>
    </row>
    <row r="12" customFormat="false" ht="15" hidden="false" customHeight="false" outlineLevel="0" collapsed="false">
      <c r="A12" s="12" t="n">
        <v>4</v>
      </c>
      <c r="B12" s="12" t="s">
        <v>265</v>
      </c>
      <c r="C12" s="13" t="s">
        <v>266</v>
      </c>
      <c r="D12" s="13" t="s">
        <v>299</v>
      </c>
      <c r="E12" s="15" t="n">
        <v>525</v>
      </c>
      <c r="F12" s="16" t="n">
        <v>0.81</v>
      </c>
      <c r="G12" s="14" t="n">
        <v>6.1</v>
      </c>
      <c r="H12" s="14" t="n">
        <v>2.1</v>
      </c>
      <c r="I12" s="14" t="n">
        <v>1.3</v>
      </c>
      <c r="J12" s="15" t="n">
        <v>98500</v>
      </c>
      <c r="K12" s="14" t="n">
        <v>90.3</v>
      </c>
      <c r="L12" s="13" t="n">
        <v>2</v>
      </c>
      <c r="M12" s="14" t="n">
        <v>3.9</v>
      </c>
      <c r="N12" s="15" t="n">
        <v>1000</v>
      </c>
      <c r="O12" s="14" t="n">
        <f aca="false">(MAX(E$9:E$38)-E12)/(MAX(E$9:E$38)-MIN(E$9:E$38))*10</f>
        <v>6.66666666666667</v>
      </c>
      <c r="P12" s="14" t="n">
        <f aca="false">(MAX(F$9:F$38)-F12)/(MAX(F$9:F$38)-MIN(F$9:F$38))*10</f>
        <v>5.42553191489362</v>
      </c>
      <c r="Q12" s="14" t="n">
        <f aca="false">(G12-MIN(G$9:G$38))/(MAX(G$9:G$38)-MIN(G$9:G$38))*10</f>
        <v>3.92857142857143</v>
      </c>
      <c r="R12" s="14" t="n">
        <f aca="false">(H12-MIN(H$9:H$38))/(MAX(H$9:H$38)-MIN(H$9:H$38))*10</f>
        <v>3.36842105263158</v>
      </c>
      <c r="S12" s="14" t="n">
        <f aca="false">(I12-MIN(I$9:I$38))/(MAX(I$9:I$38)-MIN(I$9:I$38))*10</f>
        <v>3.33333333333333</v>
      </c>
      <c r="T12" s="14" t="n">
        <f aca="false">(MAX(L$9:L$38)-L12)/(MAX(L$9:L$38)-MIN(L$9:L$38))*10</f>
        <v>6.66666666666667</v>
      </c>
      <c r="U12" s="16" t="n">
        <f aca="false">O12*B$4+P12*D$4+Q12*F$4+R12*H$4+S12*J$4+T12*L$4</f>
        <v>5.01298858849251</v>
      </c>
      <c r="V12" s="13" t="n">
        <f aca="false">RANK(U12,U$9:U$38,0)</f>
        <v>23</v>
      </c>
    </row>
    <row r="13" customFormat="false" ht="15" hidden="false" customHeight="false" outlineLevel="0" collapsed="false">
      <c r="A13" s="7" t="n">
        <v>5</v>
      </c>
      <c r="B13" s="7" t="s">
        <v>300</v>
      </c>
      <c r="C13" s="8" t="s">
        <v>266</v>
      </c>
      <c r="D13" s="8" t="s">
        <v>301</v>
      </c>
      <c r="E13" s="10" t="n">
        <v>525</v>
      </c>
      <c r="F13" s="11" t="n">
        <v>0.68</v>
      </c>
      <c r="G13" s="9" t="n">
        <v>7</v>
      </c>
      <c r="H13" s="9" t="n">
        <v>2</v>
      </c>
      <c r="I13" s="9" t="n">
        <v>0.8</v>
      </c>
      <c r="J13" s="10" t="n">
        <v>62500</v>
      </c>
      <c r="K13" s="9" t="n">
        <v>92</v>
      </c>
      <c r="L13" s="8" t="n">
        <v>2</v>
      </c>
      <c r="M13" s="9" t="n">
        <v>3.9</v>
      </c>
      <c r="N13" s="10" t="n">
        <v>1050</v>
      </c>
      <c r="O13" s="9" t="n">
        <f aca="false">(MAX(E$9:E$38)-E13)/(MAX(E$9:E$38)-MIN(E$9:E$38))*10</f>
        <v>6.66666666666667</v>
      </c>
      <c r="P13" s="9" t="n">
        <f aca="false">(MAX(F$9:F$38)-F13)/(MAX(F$9:F$38)-MIN(F$9:F$38))*10</f>
        <v>6.80851063829787</v>
      </c>
      <c r="Q13" s="9" t="n">
        <f aca="false">(G13-MIN(G$9:G$38))/(MAX(G$9:G$38)-MIN(G$9:G$38))*10</f>
        <v>7.14285714285714</v>
      </c>
      <c r="R13" s="9" t="n">
        <f aca="false">(H13-MIN(H$9:H$38))/(MAX(H$9:H$38)-MIN(H$9:H$38))*10</f>
        <v>3.26315789473684</v>
      </c>
      <c r="S13" s="9" t="n">
        <f aca="false">(I13-MIN(I$9:I$38))/(MAX(I$9:I$38)-MIN(I$9:I$38))*10</f>
        <v>1.66666666666667</v>
      </c>
      <c r="T13" s="9" t="n">
        <f aca="false">(MAX(L$9:L$38)-L13)/(MAX(L$9:L$38)-MIN(L$9:L$38))*10</f>
        <v>6.66666666666667</v>
      </c>
      <c r="U13" s="11" t="n">
        <f aca="false">O13*B$4+P13*D$4+Q13*F$4+R13*H$4+S13*J$4+T13*L$4</f>
        <v>5.50593771663201</v>
      </c>
      <c r="V13" s="8" t="n">
        <f aca="false">RANK(U13,U$9:U$38,0)</f>
        <v>18</v>
      </c>
    </row>
    <row r="14" customFormat="false" ht="15" hidden="false" customHeight="false" outlineLevel="0" collapsed="false">
      <c r="A14" s="12" t="n">
        <v>6</v>
      </c>
      <c r="B14" s="12" t="s">
        <v>302</v>
      </c>
      <c r="C14" s="13" t="s">
        <v>266</v>
      </c>
      <c r="D14" s="13" t="s">
        <v>303</v>
      </c>
      <c r="E14" s="15" t="n">
        <v>525</v>
      </c>
      <c r="F14" s="16" t="n">
        <v>0.55</v>
      </c>
      <c r="G14" s="14" t="n">
        <v>7</v>
      </c>
      <c r="H14" s="14" t="n">
        <v>2.5</v>
      </c>
      <c r="I14" s="14" t="n">
        <v>0.8</v>
      </c>
      <c r="J14" s="15" t="n">
        <v>60000</v>
      </c>
      <c r="K14" s="14" t="n">
        <v>93</v>
      </c>
      <c r="L14" s="13" t="n">
        <v>3</v>
      </c>
      <c r="M14" s="14" t="n">
        <v>3.9</v>
      </c>
      <c r="N14" s="15" t="n">
        <v>1075</v>
      </c>
      <c r="O14" s="14" t="n">
        <f aca="false">(MAX(E$9:E$38)-E14)/(MAX(E$9:E$38)-MIN(E$9:E$38))*10</f>
        <v>6.66666666666667</v>
      </c>
      <c r="P14" s="14" t="n">
        <f aca="false">(MAX(F$9:F$38)-F14)/(MAX(F$9:F$38)-MIN(F$9:F$38))*10</f>
        <v>8.19148936170213</v>
      </c>
      <c r="Q14" s="14" t="n">
        <f aca="false">(G14-MIN(G$9:G$38))/(MAX(G$9:G$38)-MIN(G$9:G$38))*10</f>
        <v>7.14285714285714</v>
      </c>
      <c r="R14" s="14" t="n">
        <f aca="false">(H14-MIN(H$9:H$38))/(MAX(H$9:H$38)-MIN(H$9:H$38))*10</f>
        <v>3.78947368421053</v>
      </c>
      <c r="S14" s="14" t="n">
        <f aca="false">(I14-MIN(I$9:I$38))/(MAX(I$9:I$38)-MIN(I$9:I$38))*10</f>
        <v>1.66666666666667</v>
      </c>
      <c r="T14" s="14" t="n">
        <f aca="false">(MAX(L$9:L$38)-L14)/(MAX(L$9:L$38)-MIN(L$9:L$38))*10</f>
        <v>3.33333333333333</v>
      </c>
      <c r="U14" s="16" t="n">
        <f aca="false">O14*B$4+P14*D$4+Q14*F$4+R14*H$4+S14*J$4+T14*L$4</f>
        <v>5.52814749640058</v>
      </c>
      <c r="V14" s="13" t="n">
        <f aca="false">RANK(U14,U$9:U$38,0)</f>
        <v>17</v>
      </c>
    </row>
    <row r="15" customFormat="false" ht="15" hidden="false" customHeight="false" outlineLevel="0" collapsed="false">
      <c r="A15" s="7" t="n">
        <v>7</v>
      </c>
      <c r="B15" s="7" t="s">
        <v>272</v>
      </c>
      <c r="C15" s="8" t="s">
        <v>205</v>
      </c>
      <c r="D15" s="8" t="s">
        <v>304</v>
      </c>
      <c r="E15" s="10" t="n">
        <v>575</v>
      </c>
      <c r="F15" s="11" t="n">
        <v>0.57</v>
      </c>
      <c r="G15" s="9" t="n">
        <v>6.1</v>
      </c>
      <c r="H15" s="9" t="n">
        <v>1.2</v>
      </c>
      <c r="I15" s="9" t="n">
        <v>1.5</v>
      </c>
      <c r="J15" s="10" t="n">
        <v>97500</v>
      </c>
      <c r="K15" s="9" t="n">
        <v>88.3</v>
      </c>
      <c r="L15" s="8" t="n">
        <v>2</v>
      </c>
      <c r="M15" s="9" t="n">
        <v>5</v>
      </c>
      <c r="N15" s="10" t="n">
        <v>1600</v>
      </c>
      <c r="O15" s="9" t="n">
        <f aca="false">(MAX(E$9:E$38)-E15)/(MAX(E$9:E$38)-MIN(E$9:E$38))*10</f>
        <v>5.33333333333333</v>
      </c>
      <c r="P15" s="9" t="n">
        <f aca="false">(MAX(F$9:F$38)-F15)/(MAX(F$9:F$38)-MIN(F$9:F$38))*10</f>
        <v>7.97872340425532</v>
      </c>
      <c r="Q15" s="9" t="n">
        <f aca="false">(G15-MIN(G$9:G$38))/(MAX(G$9:G$38)-MIN(G$9:G$38))*10</f>
        <v>3.92857142857143</v>
      </c>
      <c r="R15" s="9" t="n">
        <f aca="false">(H15-MIN(H$9:H$38))/(MAX(H$9:H$38)-MIN(H$9:H$38))*10</f>
        <v>2.42105263157895</v>
      </c>
      <c r="S15" s="9" t="n">
        <f aca="false">(I15-MIN(I$9:I$38))/(MAX(I$9:I$38)-MIN(I$9:I$38))*10</f>
        <v>4</v>
      </c>
      <c r="T15" s="9" t="n">
        <f aca="false">(MAX(L$9:L$38)-L15)/(MAX(L$9:L$38)-MIN(L$9:L$38))*10</f>
        <v>6.66666666666667</v>
      </c>
      <c r="U15" s="11" t="n">
        <f aca="false">O15*B$4+P15*D$4+Q15*F$4+R15*H$4+S15*J$4+T15*L$4</f>
        <v>5.14818828987362</v>
      </c>
      <c r="V15" s="8" t="n">
        <f aca="false">RANK(U15,U$9:U$38,0)</f>
        <v>20</v>
      </c>
    </row>
    <row r="16" customFormat="false" ht="15" hidden="false" customHeight="false" outlineLevel="0" collapsed="false">
      <c r="A16" s="12" t="n">
        <v>8</v>
      </c>
      <c r="B16" s="12" t="s">
        <v>305</v>
      </c>
      <c r="C16" s="13" t="s">
        <v>205</v>
      </c>
      <c r="D16" s="13" t="s">
        <v>306</v>
      </c>
      <c r="E16" s="15" t="n">
        <v>575</v>
      </c>
      <c r="F16" s="16" t="n">
        <v>0.4</v>
      </c>
      <c r="G16" s="14" t="n">
        <v>6.5</v>
      </c>
      <c r="H16" s="14" t="n">
        <v>2</v>
      </c>
      <c r="I16" s="14" t="n">
        <v>0.8</v>
      </c>
      <c r="J16" s="15" t="n">
        <v>67500</v>
      </c>
      <c r="K16" s="14" t="n">
        <v>92</v>
      </c>
      <c r="L16" s="13" t="n">
        <v>2</v>
      </c>
      <c r="M16" s="14" t="n">
        <v>5</v>
      </c>
      <c r="N16" s="15" t="n">
        <v>1250</v>
      </c>
      <c r="O16" s="14" t="n">
        <f aca="false">(MAX(E$9:E$38)-E16)/(MAX(E$9:E$38)-MIN(E$9:E$38))*10</f>
        <v>5.33333333333333</v>
      </c>
      <c r="P16" s="14" t="n">
        <f aca="false">(MAX(F$9:F$38)-F16)/(MAX(F$9:F$38)-MIN(F$9:F$38))*10</f>
        <v>9.78723404255319</v>
      </c>
      <c r="Q16" s="14" t="n">
        <f aca="false">(G16-MIN(G$9:G$38))/(MAX(G$9:G$38)-MIN(G$9:G$38))*10</f>
        <v>5.35714285714286</v>
      </c>
      <c r="R16" s="14" t="n">
        <f aca="false">(H16-MIN(H$9:H$38))/(MAX(H$9:H$38)-MIN(H$9:H$38))*10</f>
        <v>3.26315789473684</v>
      </c>
      <c r="S16" s="14" t="n">
        <f aca="false">(I16-MIN(I$9:I$38))/(MAX(I$9:I$38)-MIN(I$9:I$38))*10</f>
        <v>1.66666666666667</v>
      </c>
      <c r="T16" s="14" t="n">
        <f aca="false">(MAX(L$9:L$38)-L16)/(MAX(L$9:L$38)-MIN(L$9:L$38))*10</f>
        <v>6.66666666666667</v>
      </c>
      <c r="U16" s="16" t="n">
        <f aca="false">O16*B$4+P16*D$4+Q16*F$4+R16*H$4+S16*J$4+T16*L$4</f>
        <v>5.50049192129259</v>
      </c>
      <c r="V16" s="13" t="n">
        <f aca="false">RANK(U16,U$9:U$38,0)</f>
        <v>19</v>
      </c>
    </row>
    <row r="17" customFormat="false" ht="15" hidden="false" customHeight="false" outlineLevel="0" collapsed="false">
      <c r="A17" s="7" t="n">
        <v>9</v>
      </c>
      <c r="B17" s="7" t="s">
        <v>275</v>
      </c>
      <c r="C17" s="8" t="s">
        <v>205</v>
      </c>
      <c r="D17" s="8" t="s">
        <v>307</v>
      </c>
      <c r="E17" s="10" t="n">
        <v>775</v>
      </c>
      <c r="F17" s="11" t="n">
        <v>0.46</v>
      </c>
      <c r="G17" s="9" t="n">
        <v>6.5</v>
      </c>
      <c r="H17" s="9" t="n">
        <v>2.5</v>
      </c>
      <c r="I17" s="9" t="n">
        <v>1.8</v>
      </c>
      <c r="J17" s="10" t="n">
        <v>72500</v>
      </c>
      <c r="K17" s="9" t="n">
        <v>93</v>
      </c>
      <c r="L17" s="8" t="n">
        <v>4</v>
      </c>
      <c r="M17" s="9" t="n">
        <v>5</v>
      </c>
      <c r="N17" s="10" t="n">
        <v>600</v>
      </c>
      <c r="O17" s="9" t="n">
        <f aca="false">(MAX(E$9:E$38)-E17)/(MAX(E$9:E$38)-MIN(E$9:E$38))*10</f>
        <v>0</v>
      </c>
      <c r="P17" s="9" t="n">
        <f aca="false">(MAX(F$9:F$38)-F17)/(MAX(F$9:F$38)-MIN(F$9:F$38))*10</f>
        <v>9.14893617021277</v>
      </c>
      <c r="Q17" s="9" t="n">
        <f aca="false">(G17-MIN(G$9:G$38))/(MAX(G$9:G$38)-MIN(G$9:G$38))*10</f>
        <v>5.35714285714286</v>
      </c>
      <c r="R17" s="9" t="n">
        <f aca="false">(H17-MIN(H$9:H$38))/(MAX(H$9:H$38)-MIN(H$9:H$38))*10</f>
        <v>3.78947368421053</v>
      </c>
      <c r="S17" s="9" t="n">
        <f aca="false">(I17-MIN(I$9:I$38))/(MAX(I$9:I$38)-MIN(I$9:I$38))*10</f>
        <v>5</v>
      </c>
      <c r="T17" s="9" t="n">
        <f aca="false">(MAX(L$9:L$38)-L17)/(MAX(L$9:L$38)-MIN(L$9:L$38))*10</f>
        <v>0</v>
      </c>
      <c r="U17" s="11" t="n">
        <f aca="false">O17*B$4+P17*D$4+Q17*F$4+R17*H$4+S17*J$4+T17*L$4</f>
        <v>3.95177971524556</v>
      </c>
      <c r="V17" s="8" t="n">
        <f aca="false">RANK(U17,U$9:U$38,0)</f>
        <v>27</v>
      </c>
    </row>
    <row r="18" customFormat="false" ht="15" hidden="false" customHeight="false" outlineLevel="0" collapsed="false">
      <c r="A18" s="12" t="n">
        <v>10</v>
      </c>
      <c r="B18" s="12" t="s">
        <v>204</v>
      </c>
      <c r="C18" s="13" t="s">
        <v>205</v>
      </c>
      <c r="D18" s="13" t="s">
        <v>308</v>
      </c>
      <c r="E18" s="15" t="n">
        <v>575</v>
      </c>
      <c r="F18" s="16" t="n">
        <v>0.38</v>
      </c>
      <c r="G18" s="14" t="n">
        <v>6.8</v>
      </c>
      <c r="H18" s="14" t="n">
        <v>0</v>
      </c>
      <c r="I18" s="14" t="n">
        <v>3</v>
      </c>
      <c r="J18" s="15" t="n">
        <v>127500</v>
      </c>
      <c r="K18" s="14" t="n">
        <v>81.8</v>
      </c>
      <c r="L18" s="13" t="n">
        <v>2</v>
      </c>
      <c r="M18" s="14" t="n">
        <v>5</v>
      </c>
      <c r="N18" s="15" t="n">
        <v>1850</v>
      </c>
      <c r="O18" s="14" t="n">
        <f aca="false">(MAX(E$9:E$38)-E18)/(MAX(E$9:E$38)-MIN(E$9:E$38))*10</f>
        <v>5.33333333333333</v>
      </c>
      <c r="P18" s="14" t="n">
        <f aca="false">(MAX(F$9:F$38)-F18)/(MAX(F$9:F$38)-MIN(F$9:F$38))*10</f>
        <v>10</v>
      </c>
      <c r="Q18" s="14" t="n">
        <f aca="false">(G18-MIN(G$9:G$38))/(MAX(G$9:G$38)-MIN(G$9:G$38))*10</f>
        <v>6.42857142857143</v>
      </c>
      <c r="R18" s="14" t="n">
        <f aca="false">(H18-MIN(H$9:H$38))/(MAX(H$9:H$38)-MIN(H$9:H$38))*10</f>
        <v>1.15789473684211</v>
      </c>
      <c r="S18" s="14" t="n">
        <f aca="false">(I18-MIN(I$9:I$38))/(MAX(I$9:I$38)-MIN(I$9:I$38))*10</f>
        <v>9</v>
      </c>
      <c r="T18" s="14" t="n">
        <f aca="false">(MAX(L$9:L$38)-L18)/(MAX(L$9:L$38)-MIN(L$9:L$38))*10</f>
        <v>6.66666666666667</v>
      </c>
      <c r="U18" s="16" t="n">
        <f aca="false">O18*B$4+P18*D$4+Q18*F$4+R18*H$4+S18*J$4+T18*L$4</f>
        <v>6.48796992481203</v>
      </c>
      <c r="V18" s="13" t="n">
        <f aca="false">RANK(U18,U$9:U$38,0)</f>
        <v>11</v>
      </c>
    </row>
    <row r="19" customFormat="false" ht="15" hidden="false" customHeight="false" outlineLevel="0" collapsed="false">
      <c r="A19" s="7" t="n">
        <v>11</v>
      </c>
      <c r="B19" s="7" t="s">
        <v>212</v>
      </c>
      <c r="C19" s="8" t="s">
        <v>213</v>
      </c>
      <c r="D19" s="8" t="s">
        <v>309</v>
      </c>
      <c r="E19" s="10" t="n">
        <v>425</v>
      </c>
      <c r="F19" s="11" t="n">
        <v>0.44</v>
      </c>
      <c r="G19" s="9" t="n">
        <v>5.4</v>
      </c>
      <c r="H19" s="9" t="n">
        <v>-1.1</v>
      </c>
      <c r="I19" s="9" t="n">
        <v>3.3</v>
      </c>
      <c r="J19" s="10" t="n">
        <v>225500</v>
      </c>
      <c r="K19" s="9" t="n">
        <v>94</v>
      </c>
      <c r="L19" s="8" t="n">
        <v>1</v>
      </c>
      <c r="M19" s="9" t="n">
        <v>5.3</v>
      </c>
      <c r="N19" s="10" t="n">
        <v>2650</v>
      </c>
      <c r="O19" s="9" t="n">
        <f aca="false">(MAX(E$9:E$38)-E19)/(MAX(E$9:E$38)-MIN(E$9:E$38))*10</f>
        <v>9.33333333333333</v>
      </c>
      <c r="P19" s="9" t="n">
        <f aca="false">(MAX(F$9:F$38)-F19)/(MAX(F$9:F$38)-MIN(F$9:F$38))*10</f>
        <v>9.36170212765958</v>
      </c>
      <c r="Q19" s="9" t="n">
        <f aca="false">(G19-MIN(G$9:G$38))/(MAX(G$9:G$38)-MIN(G$9:G$38))*10</f>
        <v>1.42857142857143</v>
      </c>
      <c r="R19" s="9" t="n">
        <f aca="false">(H19-MIN(H$9:H$38))/(MAX(H$9:H$38)-MIN(H$9:H$38))*10</f>
        <v>0</v>
      </c>
      <c r="S19" s="9" t="n">
        <f aca="false">(I19-MIN(I$9:I$38))/(MAX(I$9:I$38)-MIN(I$9:I$38))*10</f>
        <v>10</v>
      </c>
      <c r="T19" s="9" t="n">
        <f aca="false">(MAX(L$9:L$38)-L19)/(MAX(L$9:L$38)-MIN(L$9:L$38))*10</f>
        <v>10</v>
      </c>
      <c r="U19" s="11" t="n">
        <f aca="false">O19*B$4+P19*D$4+Q19*F$4+R19*H$4+S19*J$4+T19*L$4</f>
        <v>6.91995947315096</v>
      </c>
      <c r="V19" s="8" t="n">
        <f aca="false">RANK(U19,U$9:U$38,0)</f>
        <v>5</v>
      </c>
    </row>
    <row r="20" customFormat="false" ht="15" hidden="false" customHeight="false" outlineLevel="0" collapsed="false">
      <c r="A20" s="12" t="n">
        <v>12</v>
      </c>
      <c r="B20" s="12" t="s">
        <v>310</v>
      </c>
      <c r="C20" s="13" t="s">
        <v>213</v>
      </c>
      <c r="D20" s="13" t="s">
        <v>311</v>
      </c>
      <c r="E20" s="15" t="n">
        <v>413</v>
      </c>
      <c r="F20" s="16" t="n">
        <v>0.52</v>
      </c>
      <c r="G20" s="14" t="n">
        <v>6.8</v>
      </c>
      <c r="H20" s="14" t="n">
        <v>2.5</v>
      </c>
      <c r="I20" s="14" t="n">
        <v>1.3</v>
      </c>
      <c r="J20" s="15" t="n">
        <v>125000</v>
      </c>
      <c r="K20" s="14" t="n">
        <v>94</v>
      </c>
      <c r="L20" s="13" t="n">
        <v>1</v>
      </c>
      <c r="M20" s="14" t="n">
        <v>5.3</v>
      </c>
      <c r="N20" s="15" t="n">
        <v>1650</v>
      </c>
      <c r="O20" s="14" t="n">
        <f aca="false">(MAX(E$9:E$38)-E20)/(MAX(E$9:E$38)-MIN(E$9:E$38))*10</f>
        <v>9.65333333333333</v>
      </c>
      <c r="P20" s="14" t="n">
        <f aca="false">(MAX(F$9:F$38)-F20)/(MAX(F$9:F$38)-MIN(F$9:F$38))*10</f>
        <v>8.51063829787234</v>
      </c>
      <c r="Q20" s="14" t="n">
        <f aca="false">(G20-MIN(G$9:G$38))/(MAX(G$9:G$38)-MIN(G$9:G$38))*10</f>
        <v>6.42857142857143</v>
      </c>
      <c r="R20" s="14" t="n">
        <f aca="false">(H20-MIN(H$9:H$38))/(MAX(H$9:H$38)-MIN(H$9:H$38))*10</f>
        <v>3.78947368421053</v>
      </c>
      <c r="S20" s="14" t="n">
        <f aca="false">(I20-MIN(I$9:I$38))/(MAX(I$9:I$38)-MIN(I$9:I$38))*10</f>
        <v>3.33333333333333</v>
      </c>
      <c r="T20" s="14" t="n">
        <f aca="false">(MAX(L$9:L$38)-L20)/(MAX(L$9:L$38)-MIN(L$9:L$38))*10</f>
        <v>10</v>
      </c>
      <c r="U20" s="16" t="n">
        <f aca="false">O20*B$4+P20*D$4+Q20*F$4+R20*H$4+S20*J$4+T20*L$4</f>
        <v>7.1481677598251</v>
      </c>
      <c r="V20" s="13" t="n">
        <f aca="false">RANK(U20,U$9:U$38,0)</f>
        <v>2</v>
      </c>
    </row>
    <row r="21" customFormat="false" ht="15" hidden="false" customHeight="false" outlineLevel="0" collapsed="false">
      <c r="A21" s="7" t="n">
        <v>13</v>
      </c>
      <c r="B21" s="7" t="s">
        <v>312</v>
      </c>
      <c r="C21" s="8" t="s">
        <v>213</v>
      </c>
      <c r="D21" s="8" t="s">
        <v>313</v>
      </c>
      <c r="E21" s="10" t="n">
        <v>413</v>
      </c>
      <c r="F21" s="11" t="n">
        <v>0.51</v>
      </c>
      <c r="G21" s="9" t="n">
        <v>7.3</v>
      </c>
      <c r="H21" s="9" t="n">
        <v>2</v>
      </c>
      <c r="I21" s="9" t="n">
        <v>0.8</v>
      </c>
      <c r="J21" s="10" t="n">
        <v>92500</v>
      </c>
      <c r="K21" s="9" t="n">
        <v>93.5</v>
      </c>
      <c r="L21" s="8" t="n">
        <v>1</v>
      </c>
      <c r="M21" s="9" t="n">
        <v>5.3</v>
      </c>
      <c r="N21" s="10" t="n">
        <v>1500</v>
      </c>
      <c r="O21" s="9" t="n">
        <f aca="false">(MAX(E$9:E$38)-E21)/(MAX(E$9:E$38)-MIN(E$9:E$38))*10</f>
        <v>9.65333333333333</v>
      </c>
      <c r="P21" s="9" t="n">
        <f aca="false">(MAX(F$9:F$38)-F21)/(MAX(F$9:F$38)-MIN(F$9:F$38))*10</f>
        <v>8.61702127659575</v>
      </c>
      <c r="Q21" s="9" t="n">
        <f aca="false">(G21-MIN(G$9:G$38))/(MAX(G$9:G$38)-MIN(G$9:G$38))*10</f>
        <v>8.21428571428571</v>
      </c>
      <c r="R21" s="9" t="n">
        <f aca="false">(H21-MIN(H$9:H$38))/(MAX(H$9:H$38)-MIN(H$9:H$38))*10</f>
        <v>3.26315789473684</v>
      </c>
      <c r="S21" s="9" t="n">
        <f aca="false">(I21-MIN(I$9:I$38))/(MAX(I$9:I$38)-MIN(I$9:I$38))*10</f>
        <v>1.66666666666667</v>
      </c>
      <c r="T21" s="9" t="n">
        <f aca="false">(MAX(L$9:L$38)-L21)/(MAX(L$9:L$38)-MIN(L$9:L$38))*10</f>
        <v>10</v>
      </c>
      <c r="U21" s="11" t="n">
        <f aca="false">O21*B$4+P21*D$4+Q21*F$4+R21*H$4+S21*J$4+T21*L$4</f>
        <v>7.10835413000587</v>
      </c>
      <c r="V21" s="8" t="n">
        <f aca="false">RANK(U21,U$9:U$38,0)</f>
        <v>3</v>
      </c>
    </row>
    <row r="22" customFormat="false" ht="15" hidden="false" customHeight="false" outlineLevel="0" collapsed="false">
      <c r="A22" s="12" t="n">
        <v>14</v>
      </c>
      <c r="B22" s="12" t="s">
        <v>314</v>
      </c>
      <c r="C22" s="13" t="s">
        <v>315</v>
      </c>
      <c r="D22" s="13" t="s">
        <v>316</v>
      </c>
      <c r="E22" s="15" t="n">
        <v>415</v>
      </c>
      <c r="F22" s="16" t="n">
        <v>0.44</v>
      </c>
      <c r="G22" s="14" t="n">
        <v>5.9</v>
      </c>
      <c r="H22" s="14" t="n">
        <v>0</v>
      </c>
      <c r="I22" s="14" t="n">
        <v>1.8</v>
      </c>
      <c r="J22" s="15" t="n">
        <v>155000</v>
      </c>
      <c r="K22" s="14" t="n">
        <v>91</v>
      </c>
      <c r="L22" s="13" t="n">
        <v>1</v>
      </c>
      <c r="M22" s="14" t="n">
        <v>0</v>
      </c>
      <c r="N22" s="15" t="n">
        <v>2250</v>
      </c>
      <c r="O22" s="14" t="n">
        <f aca="false">(MAX(E$9:E$38)-E22)/(MAX(E$9:E$38)-MIN(E$9:E$38))*10</f>
        <v>9.6</v>
      </c>
      <c r="P22" s="14" t="n">
        <f aca="false">(MAX(F$9:F$38)-F22)/(MAX(F$9:F$38)-MIN(F$9:F$38))*10</f>
        <v>9.36170212765958</v>
      </c>
      <c r="Q22" s="14" t="n">
        <f aca="false">(G22-MIN(G$9:G$38))/(MAX(G$9:G$38)-MIN(G$9:G$38))*10</f>
        <v>3.21428571428572</v>
      </c>
      <c r="R22" s="14" t="n">
        <f aca="false">(H22-MIN(H$9:H$38))/(MAX(H$9:H$38)-MIN(H$9:H$38))*10</f>
        <v>1.15789473684211</v>
      </c>
      <c r="S22" s="14" t="n">
        <f aca="false">(I22-MIN(I$9:I$38))/(MAX(I$9:I$38)-MIN(I$9:I$38))*10</f>
        <v>5</v>
      </c>
      <c r="T22" s="14" t="n">
        <f aca="false">(MAX(L$9:L$38)-L22)/(MAX(L$9:L$38)-MIN(L$9:L$38))*10</f>
        <v>10</v>
      </c>
      <c r="U22" s="16" t="n">
        <f aca="false">O22*B$4+P22*D$4+Q22*F$4+R22*H$4+S22*J$4+T22*L$4</f>
        <v>6.67816749320109</v>
      </c>
      <c r="V22" s="13" t="n">
        <f aca="false">RANK(U22,U$9:U$38,0)</f>
        <v>10</v>
      </c>
    </row>
    <row r="23" customFormat="false" ht="15" hidden="false" customHeight="false" outlineLevel="0" collapsed="false">
      <c r="A23" s="7" t="n">
        <v>15</v>
      </c>
      <c r="B23" s="7" t="s">
        <v>317</v>
      </c>
      <c r="C23" s="8" t="s">
        <v>315</v>
      </c>
      <c r="D23" s="8" t="s">
        <v>318</v>
      </c>
      <c r="E23" s="10" t="n">
        <v>445</v>
      </c>
      <c r="F23" s="11" t="n">
        <v>0.52</v>
      </c>
      <c r="G23" s="9" t="n">
        <v>5.5</v>
      </c>
      <c r="H23" s="9" t="n">
        <v>5.9</v>
      </c>
      <c r="I23" s="9" t="n">
        <v>2.3</v>
      </c>
      <c r="J23" s="10" t="n">
        <v>180000</v>
      </c>
      <c r="K23" s="9" t="n">
        <v>93</v>
      </c>
      <c r="L23" s="8" t="n">
        <v>1</v>
      </c>
      <c r="M23" s="9" t="n">
        <v>0</v>
      </c>
      <c r="N23" s="10" t="n">
        <v>2150</v>
      </c>
      <c r="O23" s="9" t="n">
        <f aca="false">(MAX(E$9:E$38)-E23)/(MAX(E$9:E$38)-MIN(E$9:E$38))*10</f>
        <v>8.8</v>
      </c>
      <c r="P23" s="9" t="n">
        <f aca="false">(MAX(F$9:F$38)-F23)/(MAX(F$9:F$38)-MIN(F$9:F$38))*10</f>
        <v>8.51063829787234</v>
      </c>
      <c r="Q23" s="9" t="n">
        <f aca="false">(G23-MIN(G$9:G$38))/(MAX(G$9:G$38)-MIN(G$9:G$38))*10</f>
        <v>1.78571428571429</v>
      </c>
      <c r="R23" s="9" t="n">
        <f aca="false">(H23-MIN(H$9:H$38))/(MAX(H$9:H$38)-MIN(H$9:H$38))*10</f>
        <v>7.36842105263158</v>
      </c>
      <c r="S23" s="9" t="n">
        <f aca="false">(I23-MIN(I$9:I$38))/(MAX(I$9:I$38)-MIN(I$9:I$38))*10</f>
        <v>6.66666666666667</v>
      </c>
      <c r="T23" s="9" t="n">
        <f aca="false">(MAX(L$9:L$38)-L23)/(MAX(L$9:L$38)-MIN(L$9:L$38))*10</f>
        <v>10</v>
      </c>
      <c r="U23" s="11" t="n">
        <f aca="false">O23*B$4+P23*D$4+Q23*F$4+R23*H$4+S23*J$4+T23*L$4</f>
        <v>7.27524796032635</v>
      </c>
      <c r="V23" s="8" t="n">
        <f aca="false">RANK(U23,U$9:U$38,0)</f>
        <v>1</v>
      </c>
    </row>
    <row r="24" customFormat="false" ht="15" hidden="false" customHeight="false" outlineLevel="0" collapsed="false">
      <c r="A24" s="12" t="n">
        <v>16</v>
      </c>
      <c r="B24" s="12" t="s">
        <v>319</v>
      </c>
      <c r="C24" s="13" t="s">
        <v>315</v>
      </c>
      <c r="D24" s="13" t="s">
        <v>320</v>
      </c>
      <c r="E24" s="15" t="n">
        <v>405</v>
      </c>
      <c r="F24" s="16" t="n">
        <v>0.5</v>
      </c>
      <c r="G24" s="14" t="n">
        <v>6</v>
      </c>
      <c r="H24" s="14" t="n">
        <v>4</v>
      </c>
      <c r="I24" s="14" t="n">
        <v>1.3</v>
      </c>
      <c r="J24" s="15" t="n">
        <v>125000</v>
      </c>
      <c r="K24" s="14" t="n">
        <v>94</v>
      </c>
      <c r="L24" s="13" t="n">
        <v>1</v>
      </c>
      <c r="M24" s="14" t="n">
        <v>0</v>
      </c>
      <c r="N24" s="15" t="n">
        <v>1600</v>
      </c>
      <c r="O24" s="14" t="n">
        <f aca="false">(MAX(E$9:E$38)-E24)/(MAX(E$9:E$38)-MIN(E$9:E$38))*10</f>
        <v>9.86666666666667</v>
      </c>
      <c r="P24" s="14" t="n">
        <f aca="false">(MAX(F$9:F$38)-F24)/(MAX(F$9:F$38)-MIN(F$9:F$38))*10</f>
        <v>8.72340425531915</v>
      </c>
      <c r="Q24" s="14" t="n">
        <f aca="false">(G24-MIN(G$9:G$38))/(MAX(G$9:G$38)-MIN(G$9:G$38))*10</f>
        <v>3.57142857142857</v>
      </c>
      <c r="R24" s="14" t="n">
        <f aca="false">(H24-MIN(H$9:H$38))/(MAX(H$9:H$38)-MIN(H$9:H$38))*10</f>
        <v>5.36842105263158</v>
      </c>
      <c r="S24" s="14" t="n">
        <f aca="false">(I24-MIN(I$9:I$38))/(MAX(I$9:I$38)-MIN(I$9:I$38))*10</f>
        <v>3.33333333333333</v>
      </c>
      <c r="T24" s="14" t="n">
        <f aca="false">(MAX(L$9:L$38)-L24)/(MAX(L$9:L$38)-MIN(L$9:L$38))*10</f>
        <v>10</v>
      </c>
      <c r="U24" s="16" t="n">
        <f aca="false">O24*B$4+P24*D$4+Q24*F$4+R24*H$4+S24*J$4+T24*L$4</f>
        <v>7.05232496133952</v>
      </c>
      <c r="V24" s="13" t="n">
        <f aca="false">RANK(U24,U$9:U$38,0)</f>
        <v>4</v>
      </c>
    </row>
    <row r="25" customFormat="false" ht="15" hidden="false" customHeight="false" outlineLevel="0" collapsed="false">
      <c r="A25" s="7" t="n">
        <v>17</v>
      </c>
      <c r="B25" s="7" t="s">
        <v>321</v>
      </c>
      <c r="C25" s="8" t="s">
        <v>322</v>
      </c>
      <c r="D25" s="8" t="s">
        <v>323</v>
      </c>
      <c r="E25" s="10" t="n">
        <v>550</v>
      </c>
      <c r="F25" s="11" t="n">
        <v>1.32</v>
      </c>
      <c r="G25" s="9" t="n">
        <v>6.3</v>
      </c>
      <c r="H25" s="9" t="n">
        <v>0</v>
      </c>
      <c r="I25" s="9" t="n">
        <v>1.8</v>
      </c>
      <c r="J25" s="10" t="n">
        <v>105000</v>
      </c>
      <c r="K25" s="9" t="n">
        <v>93.4</v>
      </c>
      <c r="L25" s="8" t="n">
        <v>3</v>
      </c>
      <c r="M25" s="9" t="n">
        <v>0</v>
      </c>
      <c r="N25" s="10" t="n">
        <v>1050</v>
      </c>
      <c r="O25" s="9" t="n">
        <f aca="false">(MAX(E$9:E$38)-E25)/(MAX(E$9:E$38)-MIN(E$9:E$38))*10</f>
        <v>6</v>
      </c>
      <c r="P25" s="9" t="n">
        <f aca="false">(MAX(F$9:F$38)-F25)/(MAX(F$9:F$38)-MIN(F$9:F$38))*10</f>
        <v>0</v>
      </c>
      <c r="Q25" s="9" t="n">
        <f aca="false">(G25-MIN(G$9:G$38))/(MAX(G$9:G$38)-MIN(G$9:G$38))*10</f>
        <v>4.64285714285714</v>
      </c>
      <c r="R25" s="9" t="n">
        <f aca="false">(H25-MIN(H$9:H$38))/(MAX(H$9:H$38)-MIN(H$9:H$38))*10</f>
        <v>1.15789473684211</v>
      </c>
      <c r="S25" s="9" t="n">
        <f aca="false">(I25-MIN(I$9:I$38))/(MAX(I$9:I$38)-MIN(I$9:I$38))*10</f>
        <v>5</v>
      </c>
      <c r="T25" s="9" t="n">
        <f aca="false">(MAX(L$9:L$38)-L25)/(MAX(L$9:L$38)-MIN(L$9:L$38))*10</f>
        <v>3.33333333333333</v>
      </c>
      <c r="U25" s="11" t="n">
        <f aca="false">O25*B$4+P25*D$4+Q25*F$4+R25*H$4+S25*J$4+T25*L$4</f>
        <v>3.45344611528822</v>
      </c>
      <c r="V25" s="8" t="n">
        <f aca="false">RANK(U25,U$9:U$38,0)</f>
        <v>30</v>
      </c>
    </row>
    <row r="26" customFormat="false" ht="15" hidden="false" customHeight="false" outlineLevel="0" collapsed="false">
      <c r="A26" s="12" t="n">
        <v>18</v>
      </c>
      <c r="B26" s="12" t="s">
        <v>324</v>
      </c>
      <c r="C26" s="13" t="s">
        <v>322</v>
      </c>
      <c r="D26" s="13" t="s">
        <v>325</v>
      </c>
      <c r="E26" s="15" t="n">
        <v>500</v>
      </c>
      <c r="F26" s="16" t="n">
        <v>1.28</v>
      </c>
      <c r="G26" s="14" t="n">
        <v>6.8</v>
      </c>
      <c r="H26" s="14" t="n">
        <v>3</v>
      </c>
      <c r="I26" s="14" t="n">
        <v>1.3</v>
      </c>
      <c r="J26" s="15" t="n">
        <v>90000</v>
      </c>
      <c r="K26" s="14" t="n">
        <v>94</v>
      </c>
      <c r="L26" s="13" t="n">
        <v>2</v>
      </c>
      <c r="M26" s="14" t="n">
        <v>0</v>
      </c>
      <c r="N26" s="15" t="n">
        <v>900</v>
      </c>
      <c r="O26" s="14" t="n">
        <f aca="false">(MAX(E$9:E$38)-E26)/(MAX(E$9:E$38)-MIN(E$9:E$38))*10</f>
        <v>7.33333333333333</v>
      </c>
      <c r="P26" s="14" t="n">
        <f aca="false">(MAX(F$9:F$38)-F26)/(MAX(F$9:F$38)-MIN(F$9:F$38))*10</f>
        <v>0.425531914893617</v>
      </c>
      <c r="Q26" s="14" t="n">
        <f aca="false">(G26-MIN(G$9:G$38))/(MAX(G$9:G$38)-MIN(G$9:G$38))*10</f>
        <v>6.42857142857143</v>
      </c>
      <c r="R26" s="14" t="n">
        <f aca="false">(H26-MIN(H$9:H$38))/(MAX(H$9:H$38)-MIN(H$9:H$38))*10</f>
        <v>4.31578947368421</v>
      </c>
      <c r="S26" s="14" t="n">
        <f aca="false">(I26-MIN(I$9:I$38))/(MAX(I$9:I$38)-MIN(I$9:I$38))*10</f>
        <v>3.33333333333333</v>
      </c>
      <c r="T26" s="14" t="n">
        <f aca="false">(MAX(L$9:L$38)-L26)/(MAX(L$9:L$38)-MIN(L$9:L$38))*10</f>
        <v>6.66666666666667</v>
      </c>
      <c r="U26" s="16" t="n">
        <f aca="false">O26*B$4+P26*D$4+Q26*F$4+R26*H$4+S26*J$4+T26*L$4</f>
        <v>4.69676051831707</v>
      </c>
      <c r="V26" s="13" t="n">
        <f aca="false">RANK(U26,U$9:U$38,0)</f>
        <v>24</v>
      </c>
    </row>
    <row r="27" customFormat="false" ht="15" hidden="false" customHeight="false" outlineLevel="0" collapsed="false">
      <c r="A27" s="7" t="n">
        <v>19</v>
      </c>
      <c r="B27" s="7" t="s">
        <v>326</v>
      </c>
      <c r="C27" s="8" t="s">
        <v>327</v>
      </c>
      <c r="D27" s="8" t="s">
        <v>328</v>
      </c>
      <c r="E27" s="10" t="n">
        <v>450</v>
      </c>
      <c r="F27" s="11" t="n">
        <v>0.58</v>
      </c>
      <c r="G27" s="9" t="n">
        <v>6.8</v>
      </c>
      <c r="H27" s="9" t="n">
        <v>3</v>
      </c>
      <c r="I27" s="9" t="n">
        <v>1.3</v>
      </c>
      <c r="J27" s="10" t="n">
        <v>100000</v>
      </c>
      <c r="K27" s="9" t="n">
        <v>93.5</v>
      </c>
      <c r="L27" s="8" t="n">
        <v>1</v>
      </c>
      <c r="M27" s="9" t="n">
        <v>0</v>
      </c>
      <c r="N27" s="10" t="n">
        <v>1900</v>
      </c>
      <c r="O27" s="9" t="n">
        <f aca="false">(MAX(E$9:E$38)-E27)/(MAX(E$9:E$38)-MIN(E$9:E$38))*10</f>
        <v>8.66666666666667</v>
      </c>
      <c r="P27" s="9" t="n">
        <f aca="false">(MAX(F$9:F$38)-F27)/(MAX(F$9:F$38)-MIN(F$9:F$38))*10</f>
        <v>7.87234042553192</v>
      </c>
      <c r="Q27" s="9" t="n">
        <f aca="false">(G27-MIN(G$9:G$38))/(MAX(G$9:G$38)-MIN(G$9:G$38))*10</f>
        <v>6.42857142857143</v>
      </c>
      <c r="R27" s="9" t="n">
        <f aca="false">(H27-MIN(H$9:H$38))/(MAX(H$9:H$38)-MIN(H$9:H$38))*10</f>
        <v>4.31578947368421</v>
      </c>
      <c r="S27" s="9" t="n">
        <f aca="false">(I27-MIN(I$9:I$38))/(MAX(I$9:I$38)-MIN(I$9:I$38))*10</f>
        <v>3.33333333333333</v>
      </c>
      <c r="T27" s="9" t="n">
        <f aca="false">(MAX(L$9:L$38)-L27)/(MAX(L$9:L$38)-MIN(L$9:L$38))*10</f>
        <v>10</v>
      </c>
      <c r="U27" s="11" t="n">
        <f aca="false">O27*B$4+P27*D$4+Q27*F$4+R27*H$4+S27*J$4+T27*L$4</f>
        <v>6.8527888871114</v>
      </c>
      <c r="V27" s="8" t="n">
        <f aca="false">RANK(U27,U$9:U$38,0)</f>
        <v>7</v>
      </c>
    </row>
    <row r="28" customFormat="false" ht="15" hidden="false" customHeight="false" outlineLevel="0" collapsed="false">
      <c r="A28" s="12" t="n">
        <v>20</v>
      </c>
      <c r="B28" s="12" t="s">
        <v>329</v>
      </c>
      <c r="C28" s="13" t="s">
        <v>327</v>
      </c>
      <c r="D28" s="13" t="s">
        <v>330</v>
      </c>
      <c r="E28" s="15" t="n">
        <v>440</v>
      </c>
      <c r="F28" s="16" t="n">
        <v>0.62</v>
      </c>
      <c r="G28" s="14" t="n">
        <v>7.3</v>
      </c>
      <c r="H28" s="14" t="n">
        <v>1.5</v>
      </c>
      <c r="I28" s="14" t="n">
        <v>0.5</v>
      </c>
      <c r="J28" s="15" t="n">
        <v>80000</v>
      </c>
      <c r="K28" s="14" t="n">
        <v>90.9</v>
      </c>
      <c r="L28" s="13" t="n">
        <v>1</v>
      </c>
      <c r="M28" s="14" t="n">
        <v>0</v>
      </c>
      <c r="N28" s="15" t="n">
        <v>1600</v>
      </c>
      <c r="O28" s="14" t="n">
        <f aca="false">(MAX(E$9:E$38)-E28)/(MAX(E$9:E$38)-MIN(E$9:E$38))*10</f>
        <v>8.93333333333333</v>
      </c>
      <c r="P28" s="14" t="n">
        <f aca="false">(MAX(F$9:F$38)-F28)/(MAX(F$9:F$38)-MIN(F$9:F$38))*10</f>
        <v>7.4468085106383</v>
      </c>
      <c r="Q28" s="14" t="n">
        <f aca="false">(G28-MIN(G$9:G$38))/(MAX(G$9:G$38)-MIN(G$9:G$38))*10</f>
        <v>8.21428571428571</v>
      </c>
      <c r="R28" s="14" t="n">
        <f aca="false">(H28-MIN(H$9:H$38))/(MAX(H$9:H$38)-MIN(H$9:H$38))*10</f>
        <v>2.73684210526316</v>
      </c>
      <c r="S28" s="14" t="n">
        <f aca="false">(I28-MIN(I$9:I$38))/(MAX(I$9:I$38)-MIN(I$9:I$38))*10</f>
        <v>0.666666666666667</v>
      </c>
      <c r="T28" s="14" t="n">
        <f aca="false">(MAX(L$9:L$38)-L28)/(MAX(L$9:L$38)-MIN(L$9:L$38))*10</f>
        <v>10</v>
      </c>
      <c r="U28" s="16" t="n">
        <f aca="false">O28*B$4+P28*D$4+Q28*F$4+R28*H$4+S28*J$4+T28*L$4</f>
        <v>6.46536420839332</v>
      </c>
      <c r="V28" s="13" t="n">
        <f aca="false">RANK(U28,U$9:U$38,0)</f>
        <v>12</v>
      </c>
    </row>
    <row r="29" customFormat="false" ht="15" hidden="false" customHeight="false" outlineLevel="0" collapsed="false">
      <c r="A29" s="7" t="n">
        <v>21</v>
      </c>
      <c r="B29" s="7" t="s">
        <v>331</v>
      </c>
      <c r="C29" s="8" t="s">
        <v>332</v>
      </c>
      <c r="D29" s="8" t="s">
        <v>333</v>
      </c>
      <c r="E29" s="10" t="n">
        <v>500</v>
      </c>
      <c r="F29" s="11" t="n">
        <v>0.87</v>
      </c>
      <c r="G29" s="9" t="n">
        <v>6.8</v>
      </c>
      <c r="H29" s="9" t="n">
        <v>4</v>
      </c>
      <c r="I29" s="9" t="n">
        <v>1.3</v>
      </c>
      <c r="J29" s="10" t="n">
        <v>105000</v>
      </c>
      <c r="K29" s="9" t="n">
        <v>94</v>
      </c>
      <c r="L29" s="8" t="n">
        <v>2</v>
      </c>
      <c r="M29" s="9" t="n">
        <v>5.3</v>
      </c>
      <c r="N29" s="10" t="n">
        <v>1200</v>
      </c>
      <c r="O29" s="9" t="n">
        <f aca="false">(MAX(E$9:E$38)-E29)/(MAX(E$9:E$38)-MIN(E$9:E$38))*10</f>
        <v>7.33333333333333</v>
      </c>
      <c r="P29" s="9" t="n">
        <f aca="false">(MAX(F$9:F$38)-F29)/(MAX(F$9:F$38)-MIN(F$9:F$38))*10</f>
        <v>4.78723404255319</v>
      </c>
      <c r="Q29" s="9" t="n">
        <f aca="false">(G29-MIN(G$9:G$38))/(MAX(G$9:G$38)-MIN(G$9:G$38))*10</f>
        <v>6.42857142857143</v>
      </c>
      <c r="R29" s="9" t="n">
        <f aca="false">(H29-MIN(H$9:H$38))/(MAX(H$9:H$38)-MIN(H$9:H$38))*10</f>
        <v>5.36842105263158</v>
      </c>
      <c r="S29" s="9" t="n">
        <f aca="false">(I29-MIN(I$9:I$38))/(MAX(I$9:I$38)-MIN(I$9:I$38))*10</f>
        <v>3.33333333333333</v>
      </c>
      <c r="T29" s="9" t="n">
        <f aca="false">(MAX(L$9:L$38)-L29)/(MAX(L$9:L$38)-MIN(L$9:L$38))*10</f>
        <v>6.66666666666667</v>
      </c>
      <c r="U29" s="11" t="n">
        <f aca="false">O29*B$4+P29*D$4+Q29*F$4+R29*H$4+S29*J$4+T29*L$4</f>
        <v>5.72699568069109</v>
      </c>
      <c r="V29" s="8" t="n">
        <f aca="false">RANK(U29,U$9:U$38,0)</f>
        <v>16</v>
      </c>
    </row>
    <row r="30" customFormat="false" ht="15" hidden="false" customHeight="false" outlineLevel="0" collapsed="false">
      <c r="A30" s="12" t="n">
        <v>22</v>
      </c>
      <c r="B30" s="12" t="s">
        <v>334</v>
      </c>
      <c r="C30" s="13" t="s">
        <v>332</v>
      </c>
      <c r="D30" s="13" t="s">
        <v>335</v>
      </c>
      <c r="E30" s="15" t="n">
        <v>525</v>
      </c>
      <c r="F30" s="16" t="n">
        <v>0.89</v>
      </c>
      <c r="G30" s="14" t="n">
        <v>6.3</v>
      </c>
      <c r="H30" s="14" t="n">
        <v>8.4</v>
      </c>
      <c r="I30" s="14" t="n">
        <v>1.8</v>
      </c>
      <c r="J30" s="15" t="n">
        <v>150000</v>
      </c>
      <c r="K30" s="14" t="n">
        <v>93.5</v>
      </c>
      <c r="L30" s="13" t="n">
        <v>3</v>
      </c>
      <c r="M30" s="14" t="n">
        <v>5.3</v>
      </c>
      <c r="N30" s="15" t="n">
        <v>1100</v>
      </c>
      <c r="O30" s="14" t="n">
        <f aca="false">(MAX(E$9:E$38)-E30)/(MAX(E$9:E$38)-MIN(E$9:E$38))*10</f>
        <v>6.66666666666667</v>
      </c>
      <c r="P30" s="14" t="n">
        <f aca="false">(MAX(F$9:F$38)-F30)/(MAX(F$9:F$38)-MIN(F$9:F$38))*10</f>
        <v>4.57446808510638</v>
      </c>
      <c r="Q30" s="14" t="n">
        <f aca="false">(G30-MIN(G$9:G$38))/(MAX(G$9:G$38)-MIN(G$9:G$38))*10</f>
        <v>4.64285714285714</v>
      </c>
      <c r="R30" s="14" t="n">
        <f aca="false">(H30-MIN(H$9:H$38))/(MAX(H$9:H$38)-MIN(H$9:H$38))*10</f>
        <v>10</v>
      </c>
      <c r="S30" s="14" t="n">
        <f aca="false">(I30-MIN(I$9:I$38))/(MAX(I$9:I$38)-MIN(I$9:I$38))*10</f>
        <v>5</v>
      </c>
      <c r="T30" s="14" t="n">
        <f aca="false">(MAX(L$9:L$38)-L30)/(MAX(L$9:L$38)-MIN(L$9:L$38))*10</f>
        <v>3.33333333333333</v>
      </c>
      <c r="U30" s="16" t="n">
        <f aca="false">O30*B$4+P30*D$4+Q30*F$4+R30*H$4+S30*J$4+T30*L$4</f>
        <v>5.86132218844985</v>
      </c>
      <c r="V30" s="13" t="n">
        <f aca="false">RANK(U30,U$9:U$38,0)</f>
        <v>15</v>
      </c>
    </row>
    <row r="31" customFormat="false" ht="15" hidden="false" customHeight="false" outlineLevel="0" collapsed="false">
      <c r="A31" s="7" t="n">
        <v>23</v>
      </c>
      <c r="B31" s="7" t="s">
        <v>336</v>
      </c>
      <c r="C31" s="8" t="s">
        <v>201</v>
      </c>
      <c r="D31" s="8" t="s">
        <v>337</v>
      </c>
      <c r="E31" s="10" t="n">
        <v>450</v>
      </c>
      <c r="F31" s="11" t="n">
        <v>0.55</v>
      </c>
      <c r="G31" s="9" t="n">
        <v>5.5</v>
      </c>
      <c r="H31" s="9" t="n">
        <v>3</v>
      </c>
      <c r="I31" s="9" t="n">
        <v>2.5</v>
      </c>
      <c r="J31" s="10" t="n">
        <v>170000</v>
      </c>
      <c r="K31" s="9" t="n">
        <v>93.8</v>
      </c>
      <c r="L31" s="8" t="n">
        <v>1</v>
      </c>
      <c r="M31" s="9" t="n">
        <v>4.5</v>
      </c>
      <c r="N31" s="10" t="n">
        <v>1700</v>
      </c>
      <c r="O31" s="9" t="n">
        <f aca="false">(MAX(E$9:E$38)-E31)/(MAX(E$9:E$38)-MIN(E$9:E$38))*10</f>
        <v>8.66666666666667</v>
      </c>
      <c r="P31" s="9" t="n">
        <f aca="false">(MAX(F$9:F$38)-F31)/(MAX(F$9:F$38)-MIN(F$9:F$38))*10</f>
        <v>8.19148936170213</v>
      </c>
      <c r="Q31" s="9" t="n">
        <f aca="false">(G31-MIN(G$9:G$38))/(MAX(G$9:G$38)-MIN(G$9:G$38))*10</f>
        <v>1.78571428571429</v>
      </c>
      <c r="R31" s="9" t="n">
        <f aca="false">(H31-MIN(H$9:H$38))/(MAX(H$9:H$38)-MIN(H$9:H$38))*10</f>
        <v>4.31578947368421</v>
      </c>
      <c r="S31" s="9" t="n">
        <f aca="false">(I31-MIN(I$9:I$38))/(MAX(I$9:I$38)-MIN(I$9:I$38))*10</f>
        <v>7.33333333333333</v>
      </c>
      <c r="T31" s="9" t="n">
        <f aca="false">(MAX(L$9:L$38)-L31)/(MAX(L$9:L$38)-MIN(L$9:L$38))*10</f>
        <v>10</v>
      </c>
      <c r="U31" s="11" t="n">
        <f aca="false">O31*B$4+P31*D$4+Q31*F$4+R31*H$4+S31*J$4+T31*L$4</f>
        <v>6.82019010291687</v>
      </c>
      <c r="V31" s="8" t="n">
        <f aca="false">RANK(U31,U$9:U$38,0)</f>
        <v>9</v>
      </c>
    </row>
    <row r="32" customFormat="false" ht="15" hidden="false" customHeight="false" outlineLevel="0" collapsed="false">
      <c r="A32" s="12" t="n">
        <v>24</v>
      </c>
      <c r="B32" s="12" t="s">
        <v>338</v>
      </c>
      <c r="C32" s="13" t="s">
        <v>201</v>
      </c>
      <c r="D32" s="13" t="s">
        <v>339</v>
      </c>
      <c r="E32" s="15" t="n">
        <v>450</v>
      </c>
      <c r="F32" s="16" t="n">
        <v>0.61</v>
      </c>
      <c r="G32" s="14" t="n">
        <v>6</v>
      </c>
      <c r="H32" s="14" t="n">
        <v>4</v>
      </c>
      <c r="I32" s="14" t="n">
        <v>2</v>
      </c>
      <c r="J32" s="15" t="n">
        <v>130000</v>
      </c>
      <c r="K32" s="14" t="n">
        <v>90</v>
      </c>
      <c r="L32" s="13" t="n">
        <v>1</v>
      </c>
      <c r="M32" s="14" t="n">
        <v>4.5</v>
      </c>
      <c r="N32" s="15" t="n">
        <v>1550</v>
      </c>
      <c r="O32" s="14" t="n">
        <f aca="false">(MAX(E$9:E$38)-E32)/(MAX(E$9:E$38)-MIN(E$9:E$38))*10</f>
        <v>8.66666666666667</v>
      </c>
      <c r="P32" s="14" t="n">
        <f aca="false">(MAX(F$9:F$38)-F32)/(MAX(F$9:F$38)-MIN(F$9:F$38))*10</f>
        <v>7.5531914893617</v>
      </c>
      <c r="Q32" s="14" t="n">
        <f aca="false">(G32-MIN(G$9:G$38))/(MAX(G$9:G$38)-MIN(G$9:G$38))*10</f>
        <v>3.57142857142857</v>
      </c>
      <c r="R32" s="14" t="n">
        <f aca="false">(H32-MIN(H$9:H$38))/(MAX(H$9:H$38)-MIN(H$9:H$38))*10</f>
        <v>5.36842105263158</v>
      </c>
      <c r="S32" s="14" t="n">
        <f aca="false">(I32-MIN(I$9:I$38))/(MAX(I$9:I$38)-MIN(I$9:I$38))*10</f>
        <v>5.66666666666667</v>
      </c>
      <c r="T32" s="14" t="n">
        <f aca="false">(MAX(L$9:L$38)-L32)/(MAX(L$9:L$38)-MIN(L$9:L$38))*10</f>
        <v>10</v>
      </c>
      <c r="U32" s="16" t="n">
        <f aca="false">O32*B$4+P32*D$4+Q32*F$4+R32*H$4+S32*J$4+T32*L$4</f>
        <v>6.86828240814803</v>
      </c>
      <c r="V32" s="13" t="n">
        <f aca="false">RANK(U32,U$9:U$38,0)</f>
        <v>6</v>
      </c>
    </row>
    <row r="33" customFormat="false" ht="15" hidden="false" customHeight="false" outlineLevel="0" collapsed="false">
      <c r="A33" s="7" t="n">
        <v>25</v>
      </c>
      <c r="B33" s="7" t="s">
        <v>200</v>
      </c>
      <c r="C33" s="8" t="s">
        <v>201</v>
      </c>
      <c r="D33" s="8" t="s">
        <v>340</v>
      </c>
      <c r="E33" s="10" t="n">
        <v>460</v>
      </c>
      <c r="F33" s="11" t="n">
        <v>0.61</v>
      </c>
      <c r="G33" s="9" t="n">
        <v>5</v>
      </c>
      <c r="H33" s="9" t="n">
        <v>2.5</v>
      </c>
      <c r="I33" s="9" t="n">
        <v>2.1</v>
      </c>
      <c r="J33" s="10" t="n">
        <v>175000</v>
      </c>
      <c r="K33" s="9" t="n">
        <v>97.8</v>
      </c>
      <c r="L33" s="8" t="n">
        <v>1</v>
      </c>
      <c r="M33" s="9" t="n">
        <v>4.5</v>
      </c>
      <c r="N33" s="10" t="n">
        <v>1850</v>
      </c>
      <c r="O33" s="9" t="n">
        <f aca="false">(MAX(E$9:E$38)-E33)/(MAX(E$9:E$38)-MIN(E$9:E$38))*10</f>
        <v>8.4</v>
      </c>
      <c r="P33" s="9" t="n">
        <f aca="false">(MAX(F$9:F$38)-F33)/(MAX(F$9:F$38)-MIN(F$9:F$38))*10</f>
        <v>7.5531914893617</v>
      </c>
      <c r="Q33" s="9" t="n">
        <f aca="false">(G33-MIN(G$9:G$38))/(MAX(G$9:G$38)-MIN(G$9:G$38))*10</f>
        <v>0</v>
      </c>
      <c r="R33" s="9" t="n">
        <f aca="false">(H33-MIN(H$9:H$38))/(MAX(H$9:H$38)-MIN(H$9:H$38))*10</f>
        <v>3.78947368421053</v>
      </c>
      <c r="S33" s="9" t="n">
        <f aca="false">(I33-MIN(I$9:I$38))/(MAX(I$9:I$38)-MIN(I$9:I$38))*10</f>
        <v>6</v>
      </c>
      <c r="T33" s="9" t="n">
        <f aca="false">(MAX(L$9:L$38)-L33)/(MAX(L$9:L$38)-MIN(L$9:L$38))*10</f>
        <v>10</v>
      </c>
      <c r="U33" s="11" t="n">
        <f aca="false">O33*B$4+P33*D$4+Q33*F$4+R33*H$4+S33*J$4+T33*L$4</f>
        <v>6.07905935050392</v>
      </c>
      <c r="V33" s="8" t="n">
        <f aca="false">RANK(U33,U$9:U$38,0)</f>
        <v>13</v>
      </c>
    </row>
    <row r="34" customFormat="false" ht="15" hidden="false" customHeight="false" outlineLevel="0" collapsed="false">
      <c r="A34" s="12" t="n">
        <v>26</v>
      </c>
      <c r="B34" s="12" t="s">
        <v>341</v>
      </c>
      <c r="C34" s="13" t="s">
        <v>342</v>
      </c>
      <c r="D34" s="13" t="s">
        <v>343</v>
      </c>
      <c r="E34" s="15" t="n">
        <v>550</v>
      </c>
      <c r="F34" s="16" t="n">
        <v>1.05</v>
      </c>
      <c r="G34" s="14" t="n">
        <v>6.8</v>
      </c>
      <c r="H34" s="14" t="n">
        <v>2</v>
      </c>
      <c r="I34" s="14" t="n">
        <v>1.5</v>
      </c>
      <c r="J34" s="15" t="n">
        <v>105000</v>
      </c>
      <c r="K34" s="14" t="n">
        <v>92</v>
      </c>
      <c r="L34" s="13" t="n">
        <v>3</v>
      </c>
      <c r="M34" s="14" t="n">
        <v>2.5</v>
      </c>
      <c r="N34" s="15" t="n">
        <v>900</v>
      </c>
      <c r="O34" s="14" t="n">
        <f aca="false">(MAX(E$9:E$38)-E34)/(MAX(E$9:E$38)-MIN(E$9:E$38))*10</f>
        <v>6</v>
      </c>
      <c r="P34" s="14" t="n">
        <f aca="false">(MAX(F$9:F$38)-F34)/(MAX(F$9:F$38)-MIN(F$9:F$38))*10</f>
        <v>2.87234042553192</v>
      </c>
      <c r="Q34" s="14" t="n">
        <f aca="false">(G34-MIN(G$9:G$38))/(MAX(G$9:G$38)-MIN(G$9:G$38))*10</f>
        <v>6.42857142857143</v>
      </c>
      <c r="R34" s="14" t="n">
        <f aca="false">(H34-MIN(H$9:H$38))/(MAX(H$9:H$38)-MIN(H$9:H$38))*10</f>
        <v>3.26315789473684</v>
      </c>
      <c r="S34" s="14" t="n">
        <f aca="false">(I34-MIN(I$9:I$38))/(MAX(I$9:I$38)-MIN(I$9:I$38))*10</f>
        <v>4</v>
      </c>
      <c r="T34" s="14" t="n">
        <f aca="false">(MAX(L$9:L$38)-L34)/(MAX(L$9:L$38)-MIN(L$9:L$38))*10</f>
        <v>3.33333333333333</v>
      </c>
      <c r="U34" s="16" t="n">
        <f aca="false">O34*B$4+P34*D$4+Q34*F$4+R34*H$4+S34*J$4+T34*L$4</f>
        <v>4.46156081693596</v>
      </c>
      <c r="V34" s="13" t="n">
        <f aca="false">RANK(U34,U$9:U$38,0)</f>
        <v>26</v>
      </c>
    </row>
    <row r="35" customFormat="false" ht="15" hidden="false" customHeight="false" outlineLevel="0" collapsed="false">
      <c r="A35" s="7" t="n">
        <v>27</v>
      </c>
      <c r="B35" s="7" t="s">
        <v>344</v>
      </c>
      <c r="C35" s="8" t="s">
        <v>342</v>
      </c>
      <c r="D35" s="8" t="s">
        <v>345</v>
      </c>
      <c r="E35" s="10" t="n">
        <v>530</v>
      </c>
      <c r="F35" s="11" t="n">
        <v>1.02</v>
      </c>
      <c r="G35" s="9" t="n">
        <v>6.8</v>
      </c>
      <c r="H35" s="9" t="n">
        <v>3</v>
      </c>
      <c r="I35" s="9" t="n">
        <v>1.3</v>
      </c>
      <c r="J35" s="10" t="n">
        <v>97500</v>
      </c>
      <c r="K35" s="9" t="n">
        <v>93</v>
      </c>
      <c r="L35" s="8" t="n">
        <v>2</v>
      </c>
      <c r="M35" s="9" t="n">
        <v>2.5</v>
      </c>
      <c r="N35" s="10" t="n">
        <v>1000</v>
      </c>
      <c r="O35" s="9" t="n">
        <f aca="false">(MAX(E$9:E$38)-E35)/(MAX(E$9:E$38)-MIN(E$9:E$38))*10</f>
        <v>6.53333333333333</v>
      </c>
      <c r="P35" s="9" t="n">
        <f aca="false">(MAX(F$9:F$38)-F35)/(MAX(F$9:F$38)-MIN(F$9:F$38))*10</f>
        <v>3.19148936170213</v>
      </c>
      <c r="Q35" s="9" t="n">
        <f aca="false">(G35-MIN(G$9:G$38))/(MAX(G$9:G$38)-MIN(G$9:G$38))*10</f>
        <v>6.42857142857143</v>
      </c>
      <c r="R35" s="9" t="n">
        <f aca="false">(H35-MIN(H$9:H$38))/(MAX(H$9:H$38)-MIN(H$9:H$38))*10</f>
        <v>4.31578947368421</v>
      </c>
      <c r="S35" s="9" t="n">
        <f aca="false">(I35-MIN(I$9:I$38))/(MAX(I$9:I$38)-MIN(I$9:I$38))*10</f>
        <v>3.33333333333333</v>
      </c>
      <c r="T35" s="9" t="n">
        <f aca="false">(MAX(L$9:L$38)-L35)/(MAX(L$9:L$38)-MIN(L$9:L$38))*10</f>
        <v>6.66666666666667</v>
      </c>
      <c r="U35" s="11" t="n">
        <f aca="false">O35*B$4+P35*D$4+Q35*F$4+R35*H$4+S35*J$4+T35*L$4</f>
        <v>5.04995200767877</v>
      </c>
      <c r="V35" s="8" t="n">
        <f aca="false">RANK(U35,U$9:U$38,0)</f>
        <v>21</v>
      </c>
    </row>
    <row r="36" customFormat="false" ht="15" hidden="false" customHeight="false" outlineLevel="0" collapsed="false">
      <c r="A36" s="12" t="n">
        <v>28</v>
      </c>
      <c r="B36" s="12" t="s">
        <v>346</v>
      </c>
      <c r="C36" s="13" t="s">
        <v>213</v>
      </c>
      <c r="D36" s="13" t="s">
        <v>347</v>
      </c>
      <c r="E36" s="15" t="n">
        <v>400</v>
      </c>
      <c r="F36" s="16" t="n">
        <v>0.69</v>
      </c>
      <c r="G36" s="14" t="n">
        <v>7</v>
      </c>
      <c r="H36" s="14" t="n">
        <v>2.5</v>
      </c>
      <c r="I36" s="14" t="n">
        <v>1</v>
      </c>
      <c r="J36" s="15" t="n">
        <v>100000</v>
      </c>
      <c r="K36" s="14" t="n">
        <v>94</v>
      </c>
      <c r="L36" s="13" t="n">
        <v>1</v>
      </c>
      <c r="M36" s="14" t="n">
        <v>5.3</v>
      </c>
      <c r="N36" s="15" t="n">
        <v>1850</v>
      </c>
      <c r="O36" s="14" t="n">
        <f aca="false">(MAX(E$9:E$38)-E36)/(MAX(E$9:E$38)-MIN(E$9:E$38))*10</f>
        <v>10</v>
      </c>
      <c r="P36" s="14" t="n">
        <f aca="false">(MAX(F$9:F$38)-F36)/(MAX(F$9:F$38)-MIN(F$9:F$38))*10</f>
        <v>6.70212765957447</v>
      </c>
      <c r="Q36" s="14" t="n">
        <f aca="false">(G36-MIN(G$9:G$38))/(MAX(G$9:G$38)-MIN(G$9:G$38))*10</f>
        <v>7.14285714285714</v>
      </c>
      <c r="R36" s="14" t="n">
        <f aca="false">(H36-MIN(H$9:H$38))/(MAX(H$9:H$38)-MIN(H$9:H$38))*10</f>
        <v>3.78947368421053</v>
      </c>
      <c r="S36" s="14" t="n">
        <f aca="false">(I36-MIN(I$9:I$38))/(MAX(I$9:I$38)-MIN(I$9:I$38))*10</f>
        <v>2.33333333333333</v>
      </c>
      <c r="T36" s="14" t="n">
        <f aca="false">(MAX(L$9:L$38)-L36)/(MAX(L$9:L$38)-MIN(L$9:L$38))*10</f>
        <v>10</v>
      </c>
      <c r="U36" s="16" t="n">
        <f aca="false">O36*B$4+P36*D$4+Q36*F$4+R36*H$4+S36*J$4+T36*L$4</f>
        <v>6.83027515597504</v>
      </c>
      <c r="V36" s="13" t="n">
        <f aca="false">RANK(U36,U$9:U$38,0)</f>
        <v>8</v>
      </c>
    </row>
    <row r="37" customFormat="false" ht="15" hidden="false" customHeight="false" outlineLevel="0" collapsed="false">
      <c r="A37" s="7" t="n">
        <v>29</v>
      </c>
      <c r="B37" s="7" t="s">
        <v>348</v>
      </c>
      <c r="C37" s="8" t="s">
        <v>262</v>
      </c>
      <c r="D37" s="8" t="s">
        <v>349</v>
      </c>
      <c r="E37" s="10" t="n">
        <v>575</v>
      </c>
      <c r="F37" s="11" t="n">
        <v>0.8</v>
      </c>
      <c r="G37" s="9" t="n">
        <v>7.8</v>
      </c>
      <c r="H37" s="9" t="n">
        <v>1.5</v>
      </c>
      <c r="I37" s="9" t="n">
        <v>0.3</v>
      </c>
      <c r="J37" s="10" t="n">
        <v>45000</v>
      </c>
      <c r="K37" s="9" t="n">
        <v>91.5</v>
      </c>
      <c r="L37" s="8" t="n">
        <v>2</v>
      </c>
      <c r="M37" s="9" t="n">
        <v>4.75</v>
      </c>
      <c r="N37" s="10" t="n">
        <v>775</v>
      </c>
      <c r="O37" s="9" t="n">
        <f aca="false">(MAX(E$9:E$38)-E37)/(MAX(E$9:E$38)-MIN(E$9:E$38))*10</f>
        <v>5.33333333333333</v>
      </c>
      <c r="P37" s="9" t="n">
        <f aca="false">(MAX(F$9:F$38)-F37)/(MAX(F$9:F$38)-MIN(F$9:F$38))*10</f>
        <v>5.53191489361702</v>
      </c>
      <c r="Q37" s="9" t="n">
        <f aca="false">(G37-MIN(G$9:G$38))/(MAX(G$9:G$38)-MIN(G$9:G$38))*10</f>
        <v>10</v>
      </c>
      <c r="R37" s="9" t="n">
        <f aca="false">(H37-MIN(H$9:H$38))/(MAX(H$9:H$38)-MIN(H$9:H$38))*10</f>
        <v>2.73684210526316</v>
      </c>
      <c r="S37" s="9" t="n">
        <f aca="false">(I37-MIN(I$9:I$38))/(MAX(I$9:I$38)-MIN(I$9:I$38))*10</f>
        <v>0</v>
      </c>
      <c r="T37" s="9" t="n">
        <f aca="false">(MAX(L$9:L$38)-L37)/(MAX(L$9:L$38)-MIN(L$9:L$38))*10</f>
        <v>6.66666666666667</v>
      </c>
      <c r="U37" s="11" t="n">
        <f aca="false">O37*B$4+P37*D$4+Q37*F$4+R37*H$4+S37*J$4+T37*L$4</f>
        <v>5.01690929451288</v>
      </c>
      <c r="V37" s="8" t="n">
        <f aca="false">RANK(U37,U$9:U$38,0)</f>
        <v>22</v>
      </c>
    </row>
    <row r="38" customFormat="false" ht="15" hidden="false" customHeight="false" outlineLevel="0" collapsed="false">
      <c r="A38" s="12" t="n">
        <v>30</v>
      </c>
      <c r="B38" s="12" t="s">
        <v>350</v>
      </c>
      <c r="C38" s="13" t="s">
        <v>262</v>
      </c>
      <c r="D38" s="13" t="s">
        <v>351</v>
      </c>
      <c r="E38" s="15" t="n">
        <v>575</v>
      </c>
      <c r="F38" s="16" t="n">
        <v>0.85</v>
      </c>
      <c r="G38" s="14" t="n">
        <v>7</v>
      </c>
      <c r="H38" s="14" t="n">
        <v>2</v>
      </c>
      <c r="I38" s="14" t="n">
        <v>0.8</v>
      </c>
      <c r="J38" s="15" t="n">
        <v>67500</v>
      </c>
      <c r="K38" s="14" t="n">
        <v>94.5</v>
      </c>
      <c r="L38" s="13" t="n">
        <v>3</v>
      </c>
      <c r="M38" s="14" t="n">
        <v>4.75</v>
      </c>
      <c r="N38" s="15" t="n">
        <v>800</v>
      </c>
      <c r="O38" s="14" t="n">
        <f aca="false">(MAX(E$9:E$38)-E38)/(MAX(E$9:E$38)-MIN(E$9:E$38))*10</f>
        <v>5.33333333333333</v>
      </c>
      <c r="P38" s="14" t="n">
        <f aca="false">(MAX(F$9:F$38)-F38)/(MAX(F$9:F$38)-MIN(F$9:F$38))*10</f>
        <v>5</v>
      </c>
      <c r="Q38" s="14" t="n">
        <f aca="false">(G38-MIN(G$9:G$38))/(MAX(G$9:G$38)-MIN(G$9:G$38))*10</f>
        <v>7.14285714285714</v>
      </c>
      <c r="R38" s="14" t="n">
        <f aca="false">(H38-MIN(H$9:H$38))/(MAX(H$9:H$38)-MIN(H$9:H$38))*10</f>
        <v>3.26315789473684</v>
      </c>
      <c r="S38" s="14" t="n">
        <f aca="false">(I38-MIN(I$9:I$38))/(MAX(I$9:I$38)-MIN(I$9:I$38))*10</f>
        <v>1.66666666666667</v>
      </c>
      <c r="T38" s="14" t="n">
        <f aca="false">(MAX(L$9:L$38)-L38)/(MAX(L$9:L$38)-MIN(L$9:L$38))*10</f>
        <v>3.33333333333333</v>
      </c>
      <c r="U38" s="16" t="n">
        <f aca="false">O38*B$4+P38*D$4+Q38*F$4+R38*H$4+S38*J$4+T38*L$4</f>
        <v>4.47756892230576</v>
      </c>
      <c r="V38" s="13" t="n">
        <f aca="false">RANK(U38,U$9:U$38,0)</f>
        <v>25</v>
      </c>
    </row>
  </sheetData>
  <autoFilter ref="A8:V38"/>
  <mergeCells count="2">
    <mergeCell ref="A1:P1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7" min="7" style="0" width="35"/>
  </cols>
  <sheetData>
    <row r="1" customFormat="false" ht="17.35" hidden="false" customHeight="false" outlineLevel="0" collapsed="false">
      <c r="A1" s="1" t="s">
        <v>352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6" t="s">
        <v>353</v>
      </c>
      <c r="B3" s="6" t="s">
        <v>354</v>
      </c>
      <c r="C3" s="6" t="s">
        <v>355</v>
      </c>
      <c r="D3" s="6" t="s">
        <v>356</v>
      </c>
      <c r="E3" s="6" t="s">
        <v>357</v>
      </c>
      <c r="F3" s="6" t="s">
        <v>358</v>
      </c>
      <c r="G3" s="6" t="s">
        <v>359</v>
      </c>
    </row>
    <row r="4" customFormat="false" ht="15" hidden="false" customHeight="false" outlineLevel="0" collapsed="false">
      <c r="A4" s="7" t="s">
        <v>360</v>
      </c>
      <c r="B4" s="7" t="s">
        <v>361</v>
      </c>
      <c r="C4" s="7" t="s">
        <v>362</v>
      </c>
      <c r="D4" s="7" t="s">
        <v>363</v>
      </c>
      <c r="E4" s="7" t="s">
        <v>364</v>
      </c>
      <c r="F4" s="7" t="s">
        <v>365</v>
      </c>
      <c r="G4" s="7" t="s">
        <v>366</v>
      </c>
    </row>
    <row r="5" customFormat="false" ht="15" hidden="false" customHeight="false" outlineLevel="0" collapsed="false">
      <c r="A5" s="12" t="s">
        <v>367</v>
      </c>
      <c r="B5" s="12" t="s">
        <v>368</v>
      </c>
      <c r="C5" s="12" t="s">
        <v>362</v>
      </c>
      <c r="D5" s="12" t="s">
        <v>369</v>
      </c>
      <c r="E5" s="12" t="s">
        <v>370</v>
      </c>
      <c r="F5" s="12" t="s">
        <v>365</v>
      </c>
      <c r="G5" s="12" t="s">
        <v>371</v>
      </c>
    </row>
    <row r="6" customFormat="false" ht="15" hidden="false" customHeight="false" outlineLevel="0" collapsed="false">
      <c r="A6" s="7" t="s">
        <v>372</v>
      </c>
      <c r="B6" s="7" t="s">
        <v>373</v>
      </c>
      <c r="C6" s="7" t="s">
        <v>362</v>
      </c>
      <c r="D6" s="7" t="s">
        <v>374</v>
      </c>
      <c r="E6" s="7" t="s">
        <v>375</v>
      </c>
      <c r="F6" s="7" t="s">
        <v>376</v>
      </c>
      <c r="G6" s="7" t="s">
        <v>377</v>
      </c>
    </row>
    <row r="7" customFormat="false" ht="15" hidden="false" customHeight="false" outlineLevel="0" collapsed="false">
      <c r="A7" s="12" t="s">
        <v>378</v>
      </c>
      <c r="B7" s="12" t="s">
        <v>379</v>
      </c>
      <c r="C7" s="12" t="s">
        <v>362</v>
      </c>
      <c r="D7" s="12" t="s">
        <v>380</v>
      </c>
      <c r="E7" s="12" t="s">
        <v>370</v>
      </c>
      <c r="F7" s="12" t="s">
        <v>376</v>
      </c>
      <c r="G7" s="12" t="s">
        <v>381</v>
      </c>
    </row>
    <row r="8" customFormat="false" ht="15" hidden="false" customHeight="false" outlineLevel="0" collapsed="false">
      <c r="A8" s="7" t="s">
        <v>382</v>
      </c>
      <c r="B8" s="7" t="s">
        <v>383</v>
      </c>
      <c r="C8" s="7" t="s">
        <v>362</v>
      </c>
      <c r="D8" s="7" t="s">
        <v>384</v>
      </c>
      <c r="E8" s="7" t="s">
        <v>375</v>
      </c>
      <c r="F8" s="7" t="s">
        <v>385</v>
      </c>
      <c r="G8" s="7" t="s">
        <v>386</v>
      </c>
    </row>
    <row r="9" customFormat="false" ht="15" hidden="false" customHeight="false" outlineLevel="0" collapsed="false">
      <c r="A9" s="12" t="s">
        <v>387</v>
      </c>
      <c r="B9" s="12" t="s">
        <v>388</v>
      </c>
      <c r="C9" s="12" t="s">
        <v>389</v>
      </c>
      <c r="D9" s="12" t="s">
        <v>390</v>
      </c>
      <c r="E9" s="12" t="s">
        <v>391</v>
      </c>
      <c r="F9" s="12" t="s">
        <v>10</v>
      </c>
      <c r="G9" s="12" t="s">
        <v>392</v>
      </c>
    </row>
    <row r="10" customFormat="false" ht="15" hidden="false" customHeight="false" outlineLevel="0" collapsed="false">
      <c r="A10" s="7" t="s">
        <v>393</v>
      </c>
      <c r="B10" s="7" t="s">
        <v>394</v>
      </c>
      <c r="C10" s="7" t="s">
        <v>389</v>
      </c>
      <c r="D10" s="7" t="s">
        <v>390</v>
      </c>
      <c r="E10" s="7" t="s">
        <v>391</v>
      </c>
      <c r="F10" s="7" t="s">
        <v>10</v>
      </c>
      <c r="G10" s="7" t="s">
        <v>395</v>
      </c>
    </row>
    <row r="11" customFormat="false" ht="15" hidden="false" customHeight="false" outlineLevel="0" collapsed="false">
      <c r="A11" s="12" t="s">
        <v>396</v>
      </c>
      <c r="B11" s="12" t="s">
        <v>397</v>
      </c>
      <c r="C11" s="12" t="s">
        <v>389</v>
      </c>
      <c r="D11" s="12" t="s">
        <v>390</v>
      </c>
      <c r="E11" s="12" t="s">
        <v>391</v>
      </c>
      <c r="F11" s="12" t="s">
        <v>10</v>
      </c>
      <c r="G11" s="12" t="s">
        <v>398</v>
      </c>
    </row>
    <row r="12" customFormat="false" ht="15" hidden="false" customHeight="false" outlineLevel="0" collapsed="false">
      <c r="A12" s="7" t="s">
        <v>399</v>
      </c>
      <c r="B12" s="7" t="s">
        <v>400</v>
      </c>
      <c r="C12" s="7" t="s">
        <v>389</v>
      </c>
      <c r="D12" s="7" t="s">
        <v>390</v>
      </c>
      <c r="E12" s="7" t="s">
        <v>391</v>
      </c>
      <c r="F12" s="7" t="s">
        <v>10</v>
      </c>
      <c r="G12" s="7" t="s">
        <v>401</v>
      </c>
    </row>
    <row r="13" customFormat="false" ht="15" hidden="false" customHeight="false" outlineLevel="0" collapsed="false">
      <c r="A13" s="12" t="s">
        <v>402</v>
      </c>
      <c r="B13" s="12" t="s">
        <v>403</v>
      </c>
      <c r="C13" s="12" t="s">
        <v>389</v>
      </c>
      <c r="D13" s="12" t="s">
        <v>390</v>
      </c>
      <c r="E13" s="12" t="s">
        <v>370</v>
      </c>
      <c r="F13" s="12" t="s">
        <v>10</v>
      </c>
      <c r="G13" s="12" t="s">
        <v>404</v>
      </c>
    </row>
    <row r="14" customFormat="false" ht="15" hidden="false" customHeight="false" outlineLevel="0" collapsed="false">
      <c r="A14" s="7" t="s">
        <v>405</v>
      </c>
      <c r="B14" s="7" t="s">
        <v>406</v>
      </c>
      <c r="C14" s="7" t="s">
        <v>389</v>
      </c>
      <c r="D14" s="7" t="s">
        <v>390</v>
      </c>
      <c r="E14" s="7" t="s">
        <v>370</v>
      </c>
      <c r="F14" s="7" t="s">
        <v>407</v>
      </c>
      <c r="G14" s="7" t="s">
        <v>408</v>
      </c>
    </row>
    <row r="15" customFormat="false" ht="15" hidden="false" customHeight="false" outlineLevel="0" collapsed="false">
      <c r="A15" s="12" t="s">
        <v>409</v>
      </c>
      <c r="B15" s="12" t="s">
        <v>410</v>
      </c>
      <c r="C15" s="12" t="s">
        <v>389</v>
      </c>
      <c r="D15" s="12" t="s">
        <v>390</v>
      </c>
      <c r="E15" s="12" t="s">
        <v>411</v>
      </c>
      <c r="F15" s="12" t="s">
        <v>412</v>
      </c>
      <c r="G15" s="12" t="s">
        <v>413</v>
      </c>
    </row>
    <row r="16" customFormat="false" ht="15" hidden="false" customHeight="false" outlineLevel="0" collapsed="false">
      <c r="A16" s="7" t="s">
        <v>414</v>
      </c>
      <c r="B16" s="7" t="s">
        <v>415</v>
      </c>
      <c r="C16" s="7" t="s">
        <v>389</v>
      </c>
      <c r="D16" s="7" t="s">
        <v>390</v>
      </c>
      <c r="E16" s="7" t="s">
        <v>370</v>
      </c>
      <c r="F16" s="7" t="s">
        <v>416</v>
      </c>
      <c r="G16" s="7" t="s">
        <v>417</v>
      </c>
    </row>
    <row r="17" customFormat="false" ht="15" hidden="false" customHeight="false" outlineLevel="0" collapsed="false">
      <c r="A17" s="12" t="s">
        <v>418</v>
      </c>
      <c r="B17" s="12" t="s">
        <v>419</v>
      </c>
      <c r="C17" s="12" t="s">
        <v>389</v>
      </c>
      <c r="D17" s="12" t="s">
        <v>390</v>
      </c>
      <c r="E17" s="12" t="s">
        <v>391</v>
      </c>
      <c r="F17" s="12" t="s">
        <v>420</v>
      </c>
      <c r="G17" s="12" t="s">
        <v>421</v>
      </c>
    </row>
    <row r="18" customFormat="false" ht="15" hidden="false" customHeight="false" outlineLevel="0" collapsed="false">
      <c r="A18" s="7" t="s">
        <v>422</v>
      </c>
      <c r="B18" s="7" t="s">
        <v>423</v>
      </c>
      <c r="C18" s="7" t="s">
        <v>389</v>
      </c>
      <c r="D18" s="7" t="s">
        <v>390</v>
      </c>
      <c r="E18" s="7" t="s">
        <v>411</v>
      </c>
      <c r="F18" s="7" t="s">
        <v>424</v>
      </c>
      <c r="G18" s="7" t="s">
        <v>425</v>
      </c>
    </row>
    <row r="19" customFormat="false" ht="15" hidden="false" customHeight="false" outlineLevel="0" collapsed="false">
      <c r="A19" s="12" t="s">
        <v>426</v>
      </c>
      <c r="B19" s="12" t="s">
        <v>427</v>
      </c>
      <c r="C19" s="12" t="s">
        <v>389</v>
      </c>
      <c r="D19" s="12" t="s">
        <v>390</v>
      </c>
      <c r="E19" s="12" t="s">
        <v>370</v>
      </c>
      <c r="F19" s="12" t="s">
        <v>428</v>
      </c>
      <c r="G19" s="12" t="s">
        <v>429</v>
      </c>
    </row>
    <row r="20" customFormat="false" ht="15" hidden="false" customHeight="false" outlineLevel="0" collapsed="false">
      <c r="A20" s="7" t="s">
        <v>430</v>
      </c>
      <c r="B20" s="7" t="s">
        <v>431</v>
      </c>
      <c r="C20" s="7" t="s">
        <v>389</v>
      </c>
      <c r="D20" s="7" t="s">
        <v>390</v>
      </c>
      <c r="E20" s="7" t="s">
        <v>432</v>
      </c>
      <c r="F20" s="7" t="s">
        <v>412</v>
      </c>
      <c r="G20" s="7" t="s">
        <v>433</v>
      </c>
    </row>
    <row r="21" customFormat="false" ht="15" hidden="false" customHeight="false" outlineLevel="0" collapsed="false">
      <c r="A21" s="12" t="s">
        <v>434</v>
      </c>
      <c r="B21" s="12" t="s">
        <v>435</v>
      </c>
      <c r="C21" s="12" t="s">
        <v>389</v>
      </c>
      <c r="D21" s="12" t="s">
        <v>390</v>
      </c>
      <c r="E21" s="12" t="s">
        <v>436</v>
      </c>
      <c r="F21" s="12" t="s">
        <v>437</v>
      </c>
      <c r="G21" s="12" t="s">
        <v>438</v>
      </c>
    </row>
    <row r="22" customFormat="false" ht="15" hidden="false" customHeight="false" outlineLevel="0" collapsed="false">
      <c r="A22" s="7" t="s">
        <v>439</v>
      </c>
      <c r="B22" s="7" t="s">
        <v>440</v>
      </c>
      <c r="C22" s="7" t="s">
        <v>389</v>
      </c>
      <c r="D22" s="7" t="s">
        <v>390</v>
      </c>
      <c r="E22" s="7" t="s">
        <v>364</v>
      </c>
      <c r="F22" s="7" t="s">
        <v>441</v>
      </c>
      <c r="G22" s="7" t="s">
        <v>442</v>
      </c>
    </row>
    <row r="23" customFormat="false" ht="23.85" hidden="false" customHeight="false" outlineLevel="0" collapsed="false">
      <c r="A23" s="12" t="s">
        <v>443</v>
      </c>
      <c r="B23" s="12" t="s">
        <v>444</v>
      </c>
      <c r="C23" s="12" t="s">
        <v>445</v>
      </c>
      <c r="D23" s="12" t="s">
        <v>390</v>
      </c>
      <c r="E23" s="12" t="s">
        <v>411</v>
      </c>
      <c r="F23" s="12" t="s">
        <v>376</v>
      </c>
      <c r="G23" s="12" t="s">
        <v>446</v>
      </c>
    </row>
    <row r="24" customFormat="false" ht="15" hidden="false" customHeight="false" outlineLevel="0" collapsed="false">
      <c r="A24" s="7" t="s">
        <v>447</v>
      </c>
      <c r="B24" s="7" t="s">
        <v>448</v>
      </c>
      <c r="C24" s="7" t="s">
        <v>389</v>
      </c>
      <c r="D24" s="7" t="s">
        <v>390</v>
      </c>
      <c r="E24" s="7" t="s">
        <v>411</v>
      </c>
      <c r="F24" s="7" t="s">
        <v>11</v>
      </c>
      <c r="G24" s="7" t="s">
        <v>449</v>
      </c>
    </row>
    <row r="25" customFormat="false" ht="15" hidden="false" customHeight="false" outlineLevel="0" collapsed="false">
      <c r="A25" s="12" t="s">
        <v>450</v>
      </c>
      <c r="B25" s="12" t="s">
        <v>451</v>
      </c>
      <c r="C25" s="12" t="s">
        <v>362</v>
      </c>
      <c r="D25" s="12" t="s">
        <v>452</v>
      </c>
      <c r="E25" s="12" t="s">
        <v>391</v>
      </c>
      <c r="F25" s="12" t="s">
        <v>453</v>
      </c>
      <c r="G25" s="12" t="s">
        <v>454</v>
      </c>
    </row>
    <row r="26" customFormat="false" ht="15" hidden="false" customHeight="false" outlineLevel="0" collapsed="false">
      <c r="A26" s="7" t="s">
        <v>455</v>
      </c>
      <c r="B26" s="7" t="s">
        <v>456</v>
      </c>
      <c r="C26" s="7" t="s">
        <v>362</v>
      </c>
      <c r="D26" s="7" t="s">
        <v>457</v>
      </c>
      <c r="E26" s="7" t="s">
        <v>370</v>
      </c>
      <c r="F26" s="7" t="s">
        <v>376</v>
      </c>
      <c r="G26" s="7" t="s">
        <v>458</v>
      </c>
    </row>
    <row r="27" customFormat="false" ht="15" hidden="false" customHeight="false" outlineLevel="0" collapsed="false">
      <c r="A27" s="12" t="s">
        <v>459</v>
      </c>
      <c r="B27" s="12" t="s">
        <v>460</v>
      </c>
      <c r="C27" s="12" t="s">
        <v>362</v>
      </c>
      <c r="D27" s="12" t="s">
        <v>461</v>
      </c>
      <c r="E27" s="12" t="s">
        <v>411</v>
      </c>
      <c r="F27" s="12" t="s">
        <v>462</v>
      </c>
      <c r="G27" s="12" t="s">
        <v>463</v>
      </c>
    </row>
    <row r="28" customFormat="false" ht="15" hidden="false" customHeight="false" outlineLevel="0" collapsed="false">
      <c r="A28" s="7" t="s">
        <v>464</v>
      </c>
      <c r="B28" s="7" t="s">
        <v>465</v>
      </c>
      <c r="C28" s="7" t="s">
        <v>389</v>
      </c>
      <c r="D28" s="7" t="s">
        <v>390</v>
      </c>
      <c r="E28" s="7" t="s">
        <v>391</v>
      </c>
      <c r="F28" s="7" t="s">
        <v>462</v>
      </c>
      <c r="G28" s="7" t="s">
        <v>466</v>
      </c>
    </row>
    <row r="31" customFormat="false" ht="15" hidden="false" customHeight="false" outlineLevel="0" collapsed="false">
      <c r="A31" s="22" t="s">
        <v>467</v>
      </c>
      <c r="B31" s="22"/>
      <c r="C31" s="22"/>
      <c r="D31" s="22"/>
      <c r="E31" s="22"/>
      <c r="F31" s="22"/>
      <c r="G31" s="22"/>
    </row>
    <row r="32" customFormat="false" ht="15" hidden="false" customHeight="false" outlineLevel="0" collapsed="false">
      <c r="A32" s="3" t="s">
        <v>468</v>
      </c>
      <c r="B32" s="23" t="s">
        <v>469</v>
      </c>
      <c r="C32" s="23"/>
      <c r="D32" s="23"/>
      <c r="E32" s="23"/>
      <c r="F32" s="23"/>
      <c r="G32" s="23"/>
    </row>
    <row r="33" customFormat="false" ht="15" hidden="false" customHeight="false" outlineLevel="0" collapsed="false">
      <c r="A33" s="3" t="s">
        <v>470</v>
      </c>
      <c r="B33" s="23" t="s">
        <v>471</v>
      </c>
      <c r="C33" s="23"/>
      <c r="D33" s="23"/>
      <c r="E33" s="23"/>
      <c r="F33" s="23"/>
      <c r="G33" s="23"/>
    </row>
    <row r="34" customFormat="false" ht="15" hidden="false" customHeight="false" outlineLevel="0" collapsed="false">
      <c r="A34" s="3" t="s">
        <v>472</v>
      </c>
      <c r="B34" s="23" t="s">
        <v>473</v>
      </c>
      <c r="C34" s="23"/>
      <c r="D34" s="23"/>
      <c r="E34" s="23"/>
      <c r="F34" s="23"/>
      <c r="G34" s="23"/>
    </row>
  </sheetData>
  <mergeCells count="5">
    <mergeCell ref="A1:G1"/>
    <mergeCell ref="A31:G31"/>
    <mergeCell ref="B32:G32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2026-04-08T06:01:11Z</dcterms:created>
  <dc:creator>openpyxl</dc:creator>
  <dc:description/>
  <dc:language>en-US</dc:language>
  <cp:lastModifiedBy/>
  <dcterms:modified xsi:type="dcterms:W3CDTF">2026-04-08T06:01:11Z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